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SLM\resources\Floor Plans\"/>
    </mc:Choice>
  </mc:AlternateContent>
  <xr:revisionPtr revIDLastSave="0" documentId="13_ncr:1_{D78E01F0-8636-438F-A045-ABB340EAED03}" xr6:coauthVersionLast="47" xr6:coauthVersionMax="47" xr10:uidLastSave="{00000000-0000-0000-0000-000000000000}"/>
  <bookViews>
    <workbookView xWindow="25725" yWindow="7635" windowWidth="25980" windowHeight="13350" xr2:uid="{00000000-000D-0000-FFFF-FFFF00000000}"/>
  </bookViews>
  <sheets>
    <sheet name="Summary" sheetId="4" r:id="rId1"/>
    <sheet name="North" sheetId="1" r:id="rId2"/>
    <sheet name="East" sheetId="2" r:id="rId3"/>
    <sheet name="South" sheetId="3" r:id="rId4"/>
    <sheet name="West" sheetId="5" r:id="rId5"/>
  </sheets>
  <calcPr calcId="191029" calcMode="autoNoTabl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4" l="1"/>
  <c r="F8" i="4"/>
  <c r="G8" i="4"/>
  <c r="H8" i="4"/>
  <c r="I8" i="4"/>
  <c r="J8" i="4"/>
  <c r="K8" i="4"/>
  <c r="L8" i="4"/>
  <c r="M8" i="4"/>
  <c r="N8" i="4"/>
  <c r="O8" i="4"/>
  <c r="P8" i="4"/>
  <c r="Q8" i="4"/>
  <c r="D8" i="4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D6" i="4"/>
  <c r="E6" i="4"/>
  <c r="F6" i="4"/>
  <c r="G6" i="4"/>
  <c r="H6" i="4"/>
  <c r="I6" i="4"/>
  <c r="J6" i="4"/>
  <c r="K6" i="4"/>
  <c r="L6" i="4"/>
  <c r="M6" i="4"/>
  <c r="N6" i="4"/>
  <c r="O6" i="4"/>
  <c r="P6" i="4"/>
  <c r="Q6" i="4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D4" i="4"/>
  <c r="E4" i="4"/>
  <c r="F4" i="4"/>
  <c r="G4" i="4"/>
  <c r="H4" i="4"/>
  <c r="I4" i="4"/>
  <c r="J4" i="4"/>
  <c r="K4" i="4"/>
  <c r="L4" i="4"/>
  <c r="M4" i="4"/>
  <c r="N4" i="4"/>
  <c r="O4" i="4"/>
  <c r="P4" i="4"/>
  <c r="Q4" i="4"/>
  <c r="C2" i="1"/>
  <c r="D2" i="1"/>
  <c r="E2" i="1"/>
  <c r="F2" i="1"/>
  <c r="G2" i="1"/>
  <c r="H2" i="1"/>
  <c r="I2" i="1"/>
  <c r="J2" i="1"/>
  <c r="K2" i="1"/>
  <c r="L2" i="1"/>
  <c r="M2" i="1"/>
  <c r="N2" i="1"/>
  <c r="O2" i="1"/>
  <c r="P2" i="1"/>
  <c r="C2" i="3"/>
  <c r="D2" i="3"/>
  <c r="E2" i="3"/>
  <c r="F2" i="3"/>
  <c r="G2" i="3"/>
  <c r="H2" i="3"/>
  <c r="I2" i="3"/>
  <c r="J2" i="3"/>
  <c r="K2" i="3"/>
  <c r="L2" i="3"/>
  <c r="M2" i="3"/>
  <c r="N2" i="3"/>
  <c r="O2" i="3"/>
  <c r="B2" i="3"/>
  <c r="O2" i="5"/>
  <c r="N2" i="5"/>
  <c r="M2" i="5"/>
  <c r="L2" i="5"/>
  <c r="K2" i="5"/>
  <c r="J2" i="5"/>
  <c r="I2" i="5"/>
  <c r="H2" i="5"/>
  <c r="G2" i="5"/>
  <c r="F2" i="5"/>
  <c r="E2" i="5"/>
  <c r="D2" i="5"/>
  <c r="C2" i="5"/>
  <c r="C2" i="2"/>
  <c r="D2" i="2"/>
  <c r="E2" i="2"/>
  <c r="F2" i="2"/>
  <c r="G2" i="2"/>
  <c r="H2" i="2"/>
  <c r="I2" i="2"/>
  <c r="J2" i="2"/>
  <c r="K2" i="2"/>
  <c r="L2" i="2"/>
  <c r="M2" i="2"/>
  <c r="N2" i="2"/>
  <c r="O2" i="2"/>
  <c r="B2" i="5"/>
  <c r="B2" i="2"/>
</calcChain>
</file>

<file path=xl/sharedStrings.xml><?xml version="1.0" encoding="utf-8"?>
<sst xmlns="http://schemas.openxmlformats.org/spreadsheetml/2006/main" count="519" uniqueCount="463">
  <si>
    <t>North</t>
  </si>
  <si>
    <t>01N007</t>
  </si>
  <si>
    <t>01N015</t>
  </si>
  <si>
    <t>01N016</t>
  </si>
  <si>
    <t>01N017</t>
  </si>
  <si>
    <t>01N020</t>
  </si>
  <si>
    <t>01N019</t>
  </si>
  <si>
    <t>01N018</t>
  </si>
  <si>
    <t>01N021</t>
  </si>
  <si>
    <t>01N022</t>
  </si>
  <si>
    <t>01N023</t>
  </si>
  <si>
    <t>01N026</t>
  </si>
  <si>
    <t>01N025</t>
  </si>
  <si>
    <t>01N024</t>
  </si>
  <si>
    <t>01N040</t>
  </si>
  <si>
    <t>01N050</t>
  </si>
  <si>
    <t>01N051</t>
  </si>
  <si>
    <t>01N052</t>
  </si>
  <si>
    <t>01N053</t>
  </si>
  <si>
    <t>01N054</t>
  </si>
  <si>
    <t>01N055</t>
  </si>
  <si>
    <t>01N056</t>
  </si>
  <si>
    <t>01N057</t>
  </si>
  <si>
    <t>01N058</t>
  </si>
  <si>
    <t>01N059</t>
  </si>
  <si>
    <t>01N060</t>
  </si>
  <si>
    <t>01N061</t>
  </si>
  <si>
    <t>01N062</t>
  </si>
  <si>
    <t>01N063</t>
  </si>
  <si>
    <t>01N064</t>
  </si>
  <si>
    <t>01N065</t>
  </si>
  <si>
    <t>01N080</t>
  </si>
  <si>
    <t>01N081</t>
  </si>
  <si>
    <t>01N082</t>
  </si>
  <si>
    <t>01N083</t>
  </si>
  <si>
    <t>01N084</t>
  </si>
  <si>
    <t>01N085</t>
  </si>
  <si>
    <t>01N086</t>
  </si>
  <si>
    <t>01N087</t>
  </si>
  <si>
    <t>01N088</t>
  </si>
  <si>
    <t>01N089</t>
  </si>
  <si>
    <t>01N090</t>
  </si>
  <si>
    <t>01N091</t>
  </si>
  <si>
    <t>01N100</t>
  </si>
  <si>
    <t>01N101</t>
  </si>
  <si>
    <t>01N001</t>
  </si>
  <si>
    <t>01N002</t>
  </si>
  <si>
    <t>01N003</t>
  </si>
  <si>
    <t>01N004</t>
  </si>
  <si>
    <t>01N005</t>
  </si>
  <si>
    <t>01N006</t>
  </si>
  <si>
    <t>01N030</t>
  </si>
  <si>
    <t>01N029</t>
  </si>
  <si>
    <t>01N028</t>
  </si>
  <si>
    <t>01N027</t>
  </si>
  <si>
    <t>01N092</t>
  </si>
  <si>
    <t>01N093</t>
  </si>
  <si>
    <t>C01048</t>
  </si>
  <si>
    <t>C01040</t>
  </si>
  <si>
    <t>C01061</t>
  </si>
  <si>
    <t>C01060</t>
  </si>
  <si>
    <t>C01059</t>
  </si>
  <si>
    <t>C01058</t>
  </si>
  <si>
    <t>C01056</t>
  </si>
  <si>
    <t>C01055</t>
  </si>
  <si>
    <t>C01054</t>
  </si>
  <si>
    <t>C01053</t>
  </si>
  <si>
    <t>C01052</t>
  </si>
  <si>
    <t>C01051</t>
  </si>
  <si>
    <t>C01050</t>
  </si>
  <si>
    <t>C01049</t>
  </si>
  <si>
    <t>C01042</t>
  </si>
  <si>
    <t>C01041</t>
  </si>
  <si>
    <t>C01034</t>
  </si>
  <si>
    <t>C01039</t>
  </si>
  <si>
    <t>C01038</t>
  </si>
  <si>
    <t>C01047</t>
  </si>
  <si>
    <t>C01057</t>
  </si>
  <si>
    <t>S01040</t>
  </si>
  <si>
    <t>S01039</t>
  </si>
  <si>
    <t>S01037</t>
  </si>
  <si>
    <t>S01036</t>
  </si>
  <si>
    <t>S01041</t>
  </si>
  <si>
    <t>S01042</t>
  </si>
  <si>
    <t>S01043</t>
  </si>
  <si>
    <t>Col#01N05</t>
  </si>
  <si>
    <t>Col#01N10</t>
  </si>
  <si>
    <t>Col#01N20</t>
  </si>
  <si>
    <t>Col#01N30</t>
  </si>
  <si>
    <t>Col#01N45</t>
  </si>
  <si>
    <t>Col#01N35</t>
  </si>
  <si>
    <t>C01037</t>
  </si>
  <si>
    <t>S01038</t>
  </si>
  <si>
    <t>C01044</t>
  </si>
  <si>
    <t>C01045</t>
  </si>
  <si>
    <t>01N111</t>
  </si>
  <si>
    <t xml:space="preserve">01N112 </t>
  </si>
  <si>
    <t>01N113</t>
  </si>
  <si>
    <t>01N110</t>
  </si>
  <si>
    <t>Col#01N40</t>
  </si>
  <si>
    <t>S01035</t>
  </si>
  <si>
    <t>01N102</t>
  </si>
  <si>
    <t>Col#01N25</t>
  </si>
  <si>
    <t>C01046</t>
  </si>
  <si>
    <t>C01043</t>
  </si>
  <si>
    <t>S01050</t>
  </si>
  <si>
    <t>C01089</t>
  </si>
  <si>
    <t>S01052</t>
  </si>
  <si>
    <t>01E072</t>
  </si>
  <si>
    <t>01E071</t>
  </si>
  <si>
    <t>01E069</t>
  </si>
  <si>
    <t>01E066</t>
  </si>
  <si>
    <t>01E067</t>
  </si>
  <si>
    <t>01E068</t>
  </si>
  <si>
    <t>01E070</t>
  </si>
  <si>
    <t>01E073</t>
  </si>
  <si>
    <t>01E074</t>
  </si>
  <si>
    <t>01E075</t>
  </si>
  <si>
    <t>01E076</t>
  </si>
  <si>
    <t>01E077</t>
  </si>
  <si>
    <t>01E078</t>
  </si>
  <si>
    <t>01E079</t>
  </si>
  <si>
    <t>01E080</t>
  </si>
  <si>
    <t>01E081</t>
  </si>
  <si>
    <t>01E082</t>
  </si>
  <si>
    <t>01E083</t>
  </si>
  <si>
    <t>01E084</t>
  </si>
  <si>
    <t>01E085</t>
  </si>
  <si>
    <t>01E086</t>
  </si>
  <si>
    <t>01E087</t>
  </si>
  <si>
    <t>01E088</t>
  </si>
  <si>
    <t>01E089</t>
  </si>
  <si>
    <t>01E090</t>
  </si>
  <si>
    <t>01E091</t>
  </si>
  <si>
    <t>01E092</t>
  </si>
  <si>
    <t>01E093</t>
  </si>
  <si>
    <t>01E094</t>
  </si>
  <si>
    <t>01E095</t>
  </si>
  <si>
    <t>01E096</t>
  </si>
  <si>
    <t>01E098</t>
  </si>
  <si>
    <t>01E099</t>
  </si>
  <si>
    <t>01E100</t>
  </si>
  <si>
    <t>01E101</t>
  </si>
  <si>
    <t>01E102</t>
  </si>
  <si>
    <t>01E103</t>
  </si>
  <si>
    <t>01E105</t>
  </si>
  <si>
    <t>01E106</t>
  </si>
  <si>
    <t>01E107</t>
  </si>
  <si>
    <t>01E108</t>
  </si>
  <si>
    <t>01E109</t>
  </si>
  <si>
    <t>01E110</t>
  </si>
  <si>
    <t>01E111</t>
  </si>
  <si>
    <t>01E112</t>
  </si>
  <si>
    <t>C01080</t>
  </si>
  <si>
    <t>C01066</t>
  </si>
  <si>
    <t>C01065</t>
  </si>
  <si>
    <t>C01087</t>
  </si>
  <si>
    <t>C01071</t>
  </si>
  <si>
    <t>C01072</t>
  </si>
  <si>
    <t>C01073</t>
  </si>
  <si>
    <t>C01088</t>
  </si>
  <si>
    <t>C01086</t>
  </si>
  <si>
    <t>C01083</t>
  </si>
  <si>
    <t>C01082</t>
  </si>
  <si>
    <t>C01084</t>
  </si>
  <si>
    <t>C01081</t>
  </si>
  <si>
    <t>C01076</t>
  </si>
  <si>
    <t>C01077</t>
  </si>
  <si>
    <t>C01079</t>
  </si>
  <si>
    <t>C01075</t>
  </si>
  <si>
    <t>C01074</t>
  </si>
  <si>
    <t>Col#01E105</t>
  </si>
  <si>
    <t>Col#01E110</t>
  </si>
  <si>
    <t>Col#01E100</t>
  </si>
  <si>
    <t>Col#01E95</t>
  </si>
  <si>
    <t>Col#01E90</t>
  </si>
  <si>
    <t>Col#01E85</t>
  </si>
  <si>
    <t>C01078</t>
  </si>
  <si>
    <t>Col#01E80</t>
  </si>
  <si>
    <t>Col#01E75</t>
  </si>
  <si>
    <t>01E061</t>
  </si>
  <si>
    <t>01E062</t>
  </si>
  <si>
    <t>01E060</t>
  </si>
  <si>
    <t>01E059</t>
  </si>
  <si>
    <t>01E058</t>
  </si>
  <si>
    <t>01E057</t>
  </si>
  <si>
    <t>01E056</t>
  </si>
  <si>
    <t>01E055</t>
  </si>
  <si>
    <t>01E054</t>
  </si>
  <si>
    <t>01E053</t>
  </si>
  <si>
    <t>01E052</t>
  </si>
  <si>
    <t>01E051</t>
  </si>
  <si>
    <t>01E050</t>
  </si>
  <si>
    <t>01E049</t>
  </si>
  <si>
    <t>01E048</t>
  </si>
  <si>
    <t>Col#01N15</t>
  </si>
  <si>
    <t>Col#01E70</t>
  </si>
  <si>
    <t>Col#01E65</t>
  </si>
  <si>
    <t>Col#01E60</t>
  </si>
  <si>
    <t>C01070</t>
  </si>
  <si>
    <t>Col#01E55</t>
  </si>
  <si>
    <t>Col#01E30</t>
  </si>
  <si>
    <t>S01046</t>
  </si>
  <si>
    <t>S01034</t>
  </si>
  <si>
    <t>C01036</t>
  </si>
  <si>
    <t>S01033</t>
  </si>
  <si>
    <t>C01035</t>
  </si>
  <si>
    <t>C01085</t>
  </si>
  <si>
    <t>S01031</t>
  </si>
  <si>
    <t>S01032</t>
  </si>
  <si>
    <t>Col#01E10</t>
  </si>
  <si>
    <t>C01062</t>
  </si>
  <si>
    <t>C01068</t>
  </si>
  <si>
    <t>C01063</t>
  </si>
  <si>
    <t>Col#01E05</t>
  </si>
  <si>
    <t>Col#01E25</t>
  </si>
  <si>
    <t>C01064</t>
  </si>
  <si>
    <t>Col#01E20</t>
  </si>
  <si>
    <t>C01067</t>
  </si>
  <si>
    <t>Col#01E15</t>
  </si>
  <si>
    <t>01E001</t>
  </si>
  <si>
    <t>01E002</t>
  </si>
  <si>
    <t>01E003</t>
  </si>
  <si>
    <t>01E004</t>
  </si>
  <si>
    <t>01E005</t>
  </si>
  <si>
    <t>01E006</t>
  </si>
  <si>
    <t>01E007</t>
  </si>
  <si>
    <t>01E008</t>
  </si>
  <si>
    <t>01E009</t>
  </si>
  <si>
    <t>01E010</t>
  </si>
  <si>
    <t>01E011</t>
  </si>
  <si>
    <t>01E012</t>
  </si>
  <si>
    <t>01E013</t>
  </si>
  <si>
    <t>01E014</t>
  </si>
  <si>
    <t>01E015</t>
  </si>
  <si>
    <t>01E016</t>
  </si>
  <si>
    <t>01E017</t>
  </si>
  <si>
    <t>01E018</t>
  </si>
  <si>
    <t>01E019</t>
  </si>
  <si>
    <t>01E020</t>
  </si>
  <si>
    <t>01E021</t>
  </si>
  <si>
    <t>01E022</t>
  </si>
  <si>
    <t>01E023</t>
  </si>
  <si>
    <t>01E024</t>
  </si>
  <si>
    <t>01E025</t>
  </si>
  <si>
    <t>01E026</t>
  </si>
  <si>
    <t>01E027</t>
  </si>
  <si>
    <t>01E028</t>
  </si>
  <si>
    <t>01E029</t>
  </si>
  <si>
    <t>01E030</t>
  </si>
  <si>
    <t>01E038</t>
  </si>
  <si>
    <t>Col#01E45</t>
  </si>
  <si>
    <t>01E037</t>
  </si>
  <si>
    <t>01E031</t>
  </si>
  <si>
    <t>01E033</t>
  </si>
  <si>
    <t>Col#01E40</t>
  </si>
  <si>
    <t>Kitchen</t>
  </si>
  <si>
    <t>01E034</t>
  </si>
  <si>
    <t>Col#01E35</t>
  </si>
  <si>
    <t>C01069</t>
  </si>
  <si>
    <t>Outside</t>
  </si>
  <si>
    <t>01E036</t>
  </si>
  <si>
    <t>Col#01E50</t>
  </si>
  <si>
    <t>Staircase</t>
  </si>
  <si>
    <t>V01000</t>
  </si>
  <si>
    <t>V01003</t>
  </si>
  <si>
    <t>01E035</t>
  </si>
  <si>
    <t>Entrance</t>
  </si>
  <si>
    <t>S01047</t>
  </si>
  <si>
    <t>Utility</t>
  </si>
  <si>
    <t>V01002</t>
  </si>
  <si>
    <t>V01004</t>
  </si>
  <si>
    <t>01S002</t>
  </si>
  <si>
    <t>01S003</t>
  </si>
  <si>
    <t>01S004</t>
  </si>
  <si>
    <t>01S001</t>
  </si>
  <si>
    <t>01S009</t>
  </si>
  <si>
    <t>01S010</t>
  </si>
  <si>
    <t>01S006</t>
  </si>
  <si>
    <t>Col#01S05</t>
  </si>
  <si>
    <t>C01031</t>
  </si>
  <si>
    <t>C01032</t>
  </si>
  <si>
    <t>S01030</t>
  </si>
  <si>
    <t>Col#01S20</t>
  </si>
  <si>
    <t>Col#01S25</t>
  </si>
  <si>
    <t>S01028</t>
  </si>
  <si>
    <t>S01029</t>
  </si>
  <si>
    <t>S01045</t>
  </si>
  <si>
    <t>Col#01S40</t>
  </si>
  <si>
    <t>Desk</t>
  </si>
  <si>
    <t>Office</t>
  </si>
  <si>
    <t>Corridor</t>
  </si>
  <si>
    <t>Column</t>
  </si>
  <si>
    <t>C01033</t>
  </si>
  <si>
    <t>Col#01S30</t>
  </si>
  <si>
    <t>Col#01S10</t>
  </si>
  <si>
    <t>Col#01S15</t>
  </si>
  <si>
    <t>S01044</t>
  </si>
  <si>
    <t>Col#01S45</t>
  </si>
  <si>
    <t>Techbar</t>
  </si>
  <si>
    <t>01S005</t>
  </si>
  <si>
    <t>01S007</t>
  </si>
  <si>
    <t>Col#01S35</t>
  </si>
  <si>
    <t xml:space="preserve">East </t>
  </si>
  <si>
    <t>South</t>
  </si>
  <si>
    <t>West</t>
  </si>
  <si>
    <t>Total</t>
  </si>
  <si>
    <t>Entertainment</t>
  </si>
  <si>
    <t>01W008</t>
  </si>
  <si>
    <t>C01006</t>
  </si>
  <si>
    <t>01W009</t>
  </si>
  <si>
    <t>S01002</t>
  </si>
  <si>
    <t>01W010</t>
  </si>
  <si>
    <t>C01005</t>
  </si>
  <si>
    <t>Storage</t>
  </si>
  <si>
    <t>01C008</t>
  </si>
  <si>
    <t>Col#01W10</t>
  </si>
  <si>
    <t>Col#01W05</t>
  </si>
  <si>
    <t>Col#01W15</t>
  </si>
  <si>
    <t>Bathrooms</t>
  </si>
  <si>
    <t>S01004</t>
  </si>
  <si>
    <t>S01048</t>
  </si>
  <si>
    <t>S01001</t>
  </si>
  <si>
    <t>S01005</t>
  </si>
  <si>
    <t>C01007</t>
  </si>
  <si>
    <t>S01003</t>
  </si>
  <si>
    <t>S01006</t>
  </si>
  <si>
    <t>S01049</t>
  </si>
  <si>
    <t>S01007</t>
  </si>
  <si>
    <t>Col#01W20</t>
  </si>
  <si>
    <t>S01009</t>
  </si>
  <si>
    <t>S01010</t>
  </si>
  <si>
    <t>S01008</t>
  </si>
  <si>
    <t>S01011</t>
  </si>
  <si>
    <t>S01012</t>
  </si>
  <si>
    <t>Col#01W25</t>
  </si>
  <si>
    <t>S01013</t>
  </si>
  <si>
    <t>Col#01W30</t>
  </si>
  <si>
    <t>01W020</t>
  </si>
  <si>
    <t>Col#01W35</t>
  </si>
  <si>
    <t>Col#01W40</t>
  </si>
  <si>
    <t>01W058</t>
  </si>
  <si>
    <t>01W057</t>
  </si>
  <si>
    <t>01W056</t>
  </si>
  <si>
    <t>01W055</t>
  </si>
  <si>
    <t>S01016</t>
  </si>
  <si>
    <t>Canteen</t>
  </si>
  <si>
    <t>S01014</t>
  </si>
  <si>
    <t>Col#01W55</t>
  </si>
  <si>
    <t>S01015</t>
  </si>
  <si>
    <t>V01001</t>
  </si>
  <si>
    <t>V01005</t>
  </si>
  <si>
    <t>V01006</t>
  </si>
  <si>
    <t>S01051</t>
  </si>
  <si>
    <t>C01018</t>
  </si>
  <si>
    <t xml:space="preserve">C01017 </t>
  </si>
  <si>
    <t>C01016</t>
  </si>
  <si>
    <t xml:space="preserve"> C01012</t>
  </si>
  <si>
    <t>01W065</t>
  </si>
  <si>
    <t>01W090</t>
  </si>
  <si>
    <t>01W091</t>
  </si>
  <si>
    <t>Col#01W85</t>
  </si>
  <si>
    <t>01W092</t>
  </si>
  <si>
    <t>01W070</t>
  </si>
  <si>
    <t>01W071</t>
  </si>
  <si>
    <t>01W072</t>
  </si>
  <si>
    <t>01W073</t>
  </si>
  <si>
    <t>01W074</t>
  </si>
  <si>
    <t>01W075</t>
  </si>
  <si>
    <t>01W076</t>
  </si>
  <si>
    <t>01W077</t>
  </si>
  <si>
    <t>01W078</t>
  </si>
  <si>
    <t>01W080</t>
  </si>
  <si>
    <t>01W081</t>
  </si>
  <si>
    <t>01W082</t>
  </si>
  <si>
    <t>01W083</t>
  </si>
  <si>
    <t>01W084</t>
  </si>
  <si>
    <t>01W085</t>
  </si>
  <si>
    <t>01W067</t>
  </si>
  <si>
    <t>01W068</t>
  </si>
  <si>
    <t>01W063</t>
  </si>
  <si>
    <t>Col#01W80</t>
  </si>
  <si>
    <t>Col#01W65</t>
  </si>
  <si>
    <t>01W064</t>
  </si>
  <si>
    <t>Col#01W50</t>
  </si>
  <si>
    <t>01W062</t>
  </si>
  <si>
    <t>01W061</t>
  </si>
  <si>
    <t>01W060</t>
  </si>
  <si>
    <t>C01011</t>
  </si>
  <si>
    <t>C01009</t>
  </si>
  <si>
    <t>01W059</t>
  </si>
  <si>
    <t>C01010</t>
  </si>
  <si>
    <t>S01017</t>
  </si>
  <si>
    <t>Col#01W45</t>
  </si>
  <si>
    <t>C01015</t>
  </si>
  <si>
    <t>C01014</t>
  </si>
  <si>
    <t>C01013</t>
  </si>
  <si>
    <t>Col#01W60</t>
  </si>
  <si>
    <t>Col#01W70</t>
  </si>
  <si>
    <t>Col#01W75</t>
  </si>
  <si>
    <t>01W115</t>
  </si>
  <si>
    <t>01W116</t>
  </si>
  <si>
    <t>01W117</t>
  </si>
  <si>
    <t>01W118</t>
  </si>
  <si>
    <t>01W119</t>
  </si>
  <si>
    <t>01W120</t>
  </si>
  <si>
    <t>01W121</t>
  </si>
  <si>
    <t>01W122</t>
  </si>
  <si>
    <t>01W123</t>
  </si>
  <si>
    <t>01W124</t>
  </si>
  <si>
    <t>01W125</t>
  </si>
  <si>
    <t>01W126</t>
  </si>
  <si>
    <t>01W127</t>
  </si>
  <si>
    <t>01W128</t>
  </si>
  <si>
    <t>01W129</t>
  </si>
  <si>
    <t>01W130</t>
  </si>
  <si>
    <t>01W131</t>
  </si>
  <si>
    <t>01W132</t>
  </si>
  <si>
    <t>C01019</t>
  </si>
  <si>
    <t>S01018</t>
  </si>
  <si>
    <t>S01019</t>
  </si>
  <si>
    <t>Col#01W90</t>
  </si>
  <si>
    <t>C01022</t>
  </si>
  <si>
    <t>C01021</t>
  </si>
  <si>
    <t>C01020</t>
  </si>
  <si>
    <t>01W109</t>
  </si>
  <si>
    <t>Col#01W105</t>
  </si>
  <si>
    <t>01W108</t>
  </si>
  <si>
    <t>01W106</t>
  </si>
  <si>
    <t>01W105</t>
  </si>
  <si>
    <t>01W104</t>
  </si>
  <si>
    <t>01W103</t>
  </si>
  <si>
    <t>01W107</t>
  </si>
  <si>
    <t>01W100</t>
  </si>
  <si>
    <t>01W101</t>
  </si>
  <si>
    <t>01W102</t>
  </si>
  <si>
    <t>C01023</t>
  </si>
  <si>
    <t>01W098</t>
  </si>
  <si>
    <t>01W097</t>
  </si>
  <si>
    <t>01W099</t>
  </si>
  <si>
    <t>01W096</t>
  </si>
  <si>
    <t>Col#01W110</t>
  </si>
  <si>
    <t>Col#01W95</t>
  </si>
  <si>
    <t>01W095</t>
  </si>
  <si>
    <t>Col#01W115</t>
  </si>
  <si>
    <t>Col#01W100</t>
  </si>
  <si>
    <t>C01024</t>
  </si>
  <si>
    <t>01W093</t>
  </si>
  <si>
    <t>01W094</t>
  </si>
  <si>
    <t>S01027</t>
  </si>
  <si>
    <t>C01030</t>
  </si>
  <si>
    <t>S01026</t>
  </si>
  <si>
    <t>C01029</t>
  </si>
  <si>
    <t>S01025</t>
  </si>
  <si>
    <t>S01024</t>
  </si>
  <si>
    <t>S01023</t>
  </si>
  <si>
    <t>C01028</t>
  </si>
  <si>
    <t>C01025</t>
  </si>
  <si>
    <t>S01022</t>
  </si>
  <si>
    <t>S01021</t>
  </si>
  <si>
    <t>C01026</t>
  </si>
  <si>
    <t>C01027</t>
  </si>
  <si>
    <t>S01020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</si>
</sst>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/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47B3E-038A-42FE-B6D1-0E1A077394DD}">
  <dimension ref="C3:R11"/>
  <sheetViews>
    <sheetView tabSelected="1" topLeftCell="B1" zoomScale="145" zoomScaleNormal="145" workbookViewId="0">
      <selection activeCell="I19" sqref="I19"/>
    </sheetView>
  </sheetViews>
  <sheetFormatPr defaultRowHeight="15" x14ac:dyDescent="0.25"/>
  <cols>
    <col min="15" max="15" width="17.28515625" customWidth="1"/>
    <col min="16" max="16" width="14.140625" customWidth="1"/>
    <col min="17" max="17" width="9.140625" style="2"/>
  </cols>
  <sheetData>
    <row r="3" spans="3:18" x14ac:dyDescent="0.25">
      <c r="C3" s="2"/>
      <c r="D3" s="1" t="s">
        <v>289</v>
      </c>
      <c r="E3" s="1" t="s">
        <v>290</v>
      </c>
      <c r="F3" s="1" t="s">
        <v>291</v>
      </c>
      <c r="G3" s="1" t="s">
        <v>292</v>
      </c>
      <c r="H3" s="1" t="s">
        <v>314</v>
      </c>
      <c r="I3" s="1" t="s">
        <v>256</v>
      </c>
      <c r="J3" s="1" t="s">
        <v>260</v>
      </c>
      <c r="K3" s="1" t="s">
        <v>263</v>
      </c>
      <c r="L3" s="1" t="s">
        <v>267</v>
      </c>
      <c r="M3" s="1" t="s">
        <v>269</v>
      </c>
      <c r="N3" s="1" t="s">
        <v>299</v>
      </c>
      <c r="O3" s="1" t="s">
        <v>307</v>
      </c>
      <c r="P3" s="1" t="s">
        <v>319</v>
      </c>
      <c r="Q3" s="1" t="s">
        <v>346</v>
      </c>
      <c r="R3" s="9"/>
    </row>
    <row r="4" spans="3:18" x14ac:dyDescent="0.25">
      <c r="C4" s="6" t="s">
        <v>0</v>
      </c>
      <c r="D4" s="7">
        <f>North!C2</f>
        <v>48</v>
      </c>
      <c r="E4" s="7">
        <f>North!D2</f>
        <v>14</v>
      </c>
      <c r="F4" s="7">
        <f>North!E2</f>
        <v>27</v>
      </c>
      <c r="G4" s="7">
        <f>North!F2</f>
        <v>8</v>
      </c>
      <c r="H4" s="7">
        <f>North!G2</f>
        <v>3</v>
      </c>
      <c r="I4" s="7">
        <f>North!H2</f>
        <v>0</v>
      </c>
      <c r="J4" s="7">
        <f>North!I2</f>
        <v>0</v>
      </c>
      <c r="K4" s="7">
        <f>North!J2</f>
        <v>0</v>
      </c>
      <c r="L4" s="7">
        <f>North!K2</f>
        <v>0</v>
      </c>
      <c r="M4" s="7">
        <f>North!L2</f>
        <v>7</v>
      </c>
      <c r="N4" s="7">
        <f>North!M2</f>
        <v>0</v>
      </c>
      <c r="O4" s="7">
        <f>North!N2</f>
        <v>0</v>
      </c>
      <c r="P4" s="7">
        <f>North!O2</f>
        <v>0</v>
      </c>
      <c r="Q4" s="7">
        <f>North!P2</f>
        <v>0</v>
      </c>
      <c r="R4" s="8"/>
    </row>
    <row r="5" spans="3:18" x14ac:dyDescent="0.25">
      <c r="C5" s="1" t="s">
        <v>303</v>
      </c>
      <c r="D5" s="2">
        <f>East!B2</f>
        <v>88</v>
      </c>
      <c r="E5" s="2">
        <f>East!C2</f>
        <v>6</v>
      </c>
      <c r="F5" s="2">
        <f>East!D2</f>
        <v>29</v>
      </c>
      <c r="G5" s="2">
        <f>East!E2</f>
        <v>23</v>
      </c>
      <c r="H5" s="2">
        <f>East!F2</f>
        <v>1</v>
      </c>
      <c r="I5" s="2">
        <f>East!G2</f>
        <v>1</v>
      </c>
      <c r="J5" s="2">
        <f>East!H2</f>
        <v>1</v>
      </c>
      <c r="K5" s="2">
        <f>East!I2</f>
        <v>4</v>
      </c>
      <c r="L5" s="2">
        <f>East!J2</f>
        <v>1</v>
      </c>
      <c r="M5" s="2">
        <f>East!K2</f>
        <v>2</v>
      </c>
      <c r="N5" s="2">
        <f>East!L2</f>
        <v>0</v>
      </c>
      <c r="O5" s="2">
        <f>East!M2</f>
        <v>0</v>
      </c>
      <c r="P5" s="2">
        <f>East!N2</f>
        <v>3</v>
      </c>
      <c r="Q5" s="2">
        <f>East!O2</f>
        <v>0</v>
      </c>
      <c r="R5" s="8"/>
    </row>
    <row r="6" spans="3:18" x14ac:dyDescent="0.25">
      <c r="C6" s="1" t="s">
        <v>304</v>
      </c>
      <c r="D6" s="2">
        <f>South!B2</f>
        <v>0</v>
      </c>
      <c r="E6" s="2">
        <f>South!C2</f>
        <v>6</v>
      </c>
      <c r="F6" s="2">
        <f>South!D2</f>
        <v>3</v>
      </c>
      <c r="G6" s="2">
        <f>South!E2</f>
        <v>9</v>
      </c>
      <c r="H6" s="2">
        <f>South!F2</f>
        <v>1</v>
      </c>
      <c r="I6" s="2">
        <f>South!G2</f>
        <v>1</v>
      </c>
      <c r="J6" s="2">
        <f>South!H2</f>
        <v>0</v>
      </c>
      <c r="K6" s="2">
        <f>South!I2</f>
        <v>0</v>
      </c>
      <c r="L6" s="2">
        <f>South!J2</f>
        <v>1</v>
      </c>
      <c r="M6" s="2">
        <f>South!K2</f>
        <v>2</v>
      </c>
      <c r="N6" s="2">
        <f>South!L2</f>
        <v>2</v>
      </c>
      <c r="O6" s="2">
        <f>South!M2</f>
        <v>1</v>
      </c>
      <c r="P6" s="2">
        <f>South!N2</f>
        <v>0</v>
      </c>
      <c r="Q6" s="2">
        <f>South!O2</f>
        <v>0</v>
      </c>
      <c r="R6" s="8"/>
    </row>
    <row r="7" spans="3:18" x14ac:dyDescent="0.25">
      <c r="C7" s="1" t="s">
        <v>305</v>
      </c>
      <c r="D7" s="2">
        <f>West!B2</f>
        <v>44</v>
      </c>
      <c r="E7" s="2">
        <f>West!C2</f>
        <v>23</v>
      </c>
      <c r="F7" s="2">
        <f>West!D2</f>
        <v>26</v>
      </c>
      <c r="G7" s="2">
        <f>West!E2</f>
        <v>23</v>
      </c>
      <c r="H7" s="2">
        <f>West!F2</f>
        <v>5</v>
      </c>
      <c r="I7" s="2">
        <f>West!G2</f>
        <v>1</v>
      </c>
      <c r="J7" s="2">
        <f>West!H2</f>
        <v>1</v>
      </c>
      <c r="K7" s="2">
        <f>West!I2</f>
        <v>3</v>
      </c>
      <c r="L7" s="2">
        <f>West!J2</f>
        <v>1</v>
      </c>
      <c r="M7" s="2">
        <f>West!K2</f>
        <v>8</v>
      </c>
      <c r="N7" s="2">
        <f>West!L2</f>
        <v>0</v>
      </c>
      <c r="O7" s="2">
        <f>West!M2</f>
        <v>3</v>
      </c>
      <c r="P7" s="2">
        <f>West!N2</f>
        <v>13</v>
      </c>
      <c r="Q7" s="2">
        <f>West!O2</f>
        <v>1</v>
      </c>
      <c r="R7" s="8"/>
    </row>
    <row r="8" spans="3:18" x14ac:dyDescent="0.25">
      <c r="C8" s="6" t="s">
        <v>306</v>
      </c>
      <c r="D8" s="6">
        <f>SUM(D4:D7)</f>
        <v>180</v>
      </c>
      <c r="E8" s="6">
        <f t="shared" ref="E8:Q8" si="0">SUM(E4:E7)</f>
        <v>49</v>
      </c>
      <c r="F8" s="6">
        <f t="shared" si="0"/>
        <v>85</v>
      </c>
      <c r="G8" s="6">
        <f t="shared" si="0"/>
        <v>63</v>
      </c>
      <c r="H8" s="6">
        <f t="shared" si="0"/>
        <v>10</v>
      </c>
      <c r="I8" s="6">
        <f t="shared" si="0"/>
        <v>3</v>
      </c>
      <c r="J8" s="6">
        <f t="shared" si="0"/>
        <v>2</v>
      </c>
      <c r="K8" s="6">
        <f t="shared" si="0"/>
        <v>7</v>
      </c>
      <c r="L8" s="6">
        <f t="shared" si="0"/>
        <v>3</v>
      </c>
      <c r="M8" s="6">
        <f t="shared" si="0"/>
        <v>19</v>
      </c>
      <c r="N8" s="6">
        <f t="shared" si="0"/>
        <v>2</v>
      </c>
      <c r="O8" s="6">
        <f t="shared" si="0"/>
        <v>4</v>
      </c>
      <c r="P8" s="6">
        <f t="shared" si="0"/>
        <v>16</v>
      </c>
      <c r="Q8" s="6">
        <f t="shared" si="0"/>
        <v>1</v>
      </c>
      <c r="R8" s="8"/>
    </row>
    <row r="9" spans="3:18" x14ac:dyDescent="0.25"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1" spans="3:18" x14ac:dyDescent="0.25"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Q51"/>
  <sheetViews>
    <sheetView zoomScaleNormal="100" workbookViewId="0">
      <selection activeCell="C2" sqref="C2:P2"/>
    </sheetView>
  </sheetViews>
  <sheetFormatPr defaultRowHeight="15" x14ac:dyDescent="0.25"/>
  <cols>
    <col min="3" max="5" width="9.140625" style="2"/>
    <col min="6" max="6" width="12.5703125" style="2" customWidth="1"/>
    <col min="7" max="7" width="9.140625" style="2"/>
  </cols>
  <sheetData>
    <row r="1" spans="3:17" x14ac:dyDescent="0.25"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3:17" x14ac:dyDescent="0.25">
      <c r="C2" s="1">
        <f>COUNTA(C4:C51)</f>
        <v>48</v>
      </c>
      <c r="D2" s="1">
        <f t="shared" ref="D2:P2" si="0">COUNTA(D4:D50)</f>
        <v>14</v>
      </c>
      <c r="E2" s="1">
        <f t="shared" si="0"/>
        <v>27</v>
      </c>
      <c r="F2" s="1">
        <f t="shared" si="0"/>
        <v>8</v>
      </c>
      <c r="G2" s="1">
        <f t="shared" si="0"/>
        <v>3</v>
      </c>
      <c r="H2" s="1">
        <f t="shared" si="0"/>
        <v>0</v>
      </c>
      <c r="I2" s="1">
        <f t="shared" si="0"/>
        <v>0</v>
      </c>
      <c r="J2" s="1">
        <f t="shared" si="0"/>
        <v>0</v>
      </c>
      <c r="K2" s="1">
        <f t="shared" si="0"/>
        <v>0</v>
      </c>
      <c r="L2" s="1">
        <f t="shared" si="0"/>
        <v>7</v>
      </c>
      <c r="M2" s="1">
        <f t="shared" si="0"/>
        <v>0</v>
      </c>
      <c r="N2" s="1">
        <f t="shared" si="0"/>
        <v>0</v>
      </c>
      <c r="O2" s="1">
        <f t="shared" si="0"/>
        <v>0</v>
      </c>
      <c r="P2" s="1">
        <f t="shared" si="0"/>
        <v>0</v>
      </c>
      <c r="Q2" s="1"/>
    </row>
    <row r="3" spans="3:17" x14ac:dyDescent="0.25">
      <c r="C3" s="1" t="s">
        <v>289</v>
      </c>
      <c r="D3" s="1" t="s">
        <v>290</v>
      </c>
      <c r="E3" s="1" t="s">
        <v>291</v>
      </c>
      <c r="F3" s="1" t="s">
        <v>292</v>
      </c>
      <c r="G3" s="1" t="s">
        <v>314</v>
      </c>
      <c r="H3" s="1" t="s">
        <v>256</v>
      </c>
      <c r="I3" s="1" t="s">
        <v>260</v>
      </c>
      <c r="J3" s="1" t="s">
        <v>263</v>
      </c>
      <c r="K3" s="1" t="s">
        <v>267</v>
      </c>
      <c r="L3" s="1" t="s">
        <v>269</v>
      </c>
      <c r="M3" s="1" t="s">
        <v>299</v>
      </c>
      <c r="N3" s="1" t="s">
        <v>307</v>
      </c>
      <c r="O3" s="1" t="s">
        <v>319</v>
      </c>
      <c r="P3" s="1" t="s">
        <v>346</v>
      </c>
      <c r="Q3" s="1"/>
    </row>
    <row r="4" spans="3:17" x14ac:dyDescent="0.25">
      <c r="C4" s="2" t="s">
        <v>1</v>
      </c>
      <c r="D4" s="2" t="s">
        <v>45</v>
      </c>
      <c r="E4" s="2" t="s">
        <v>73</v>
      </c>
      <c r="F4" s="2" t="s">
        <v>85</v>
      </c>
      <c r="G4" s="2" t="s">
        <v>78</v>
      </c>
      <c r="L4" s="2" t="s">
        <v>100</v>
      </c>
      <c r="Q4" s="2"/>
    </row>
    <row r="5" spans="3:17" x14ac:dyDescent="0.25">
      <c r="C5" s="2" t="s">
        <v>2</v>
      </c>
      <c r="D5" s="2" t="s">
        <v>46</v>
      </c>
      <c r="E5" s="2" t="s">
        <v>91</v>
      </c>
      <c r="F5" s="2" t="s">
        <v>86</v>
      </c>
      <c r="G5" s="2" t="s">
        <v>79</v>
      </c>
      <c r="L5" s="2" t="s">
        <v>81</v>
      </c>
      <c r="Q5" s="2"/>
    </row>
    <row r="6" spans="3:17" x14ac:dyDescent="0.25">
      <c r="C6" s="2" t="s">
        <v>3</v>
      </c>
      <c r="D6" s="2" t="s">
        <v>47</v>
      </c>
      <c r="E6" s="2" t="s">
        <v>75</v>
      </c>
      <c r="F6" s="2" t="s">
        <v>87</v>
      </c>
      <c r="G6" s="2" t="s">
        <v>80</v>
      </c>
      <c r="L6" s="2" t="s">
        <v>82</v>
      </c>
      <c r="Q6" s="2"/>
    </row>
    <row r="7" spans="3:17" x14ac:dyDescent="0.25">
      <c r="C7" s="2" t="s">
        <v>4</v>
      </c>
      <c r="D7" s="2" t="s">
        <v>48</v>
      </c>
      <c r="E7" s="2" t="s">
        <v>74</v>
      </c>
      <c r="F7" s="2" t="s">
        <v>102</v>
      </c>
      <c r="L7" s="2" t="s">
        <v>83</v>
      </c>
      <c r="Q7" s="2"/>
    </row>
    <row r="8" spans="3:17" x14ac:dyDescent="0.25">
      <c r="C8" s="2" t="s">
        <v>7</v>
      </c>
      <c r="D8" s="2" t="s">
        <v>49</v>
      </c>
      <c r="E8" s="2" t="s">
        <v>58</v>
      </c>
      <c r="F8" s="2" t="s">
        <v>88</v>
      </c>
      <c r="L8" s="2" t="s">
        <v>84</v>
      </c>
      <c r="Q8" s="2"/>
    </row>
    <row r="9" spans="3:17" x14ac:dyDescent="0.25">
      <c r="C9" s="2" t="s">
        <v>6</v>
      </c>
      <c r="D9" s="2" t="s">
        <v>50</v>
      </c>
      <c r="E9" s="2" t="s">
        <v>72</v>
      </c>
      <c r="F9" s="2" t="s">
        <v>90</v>
      </c>
      <c r="L9" s="2" t="s">
        <v>92</v>
      </c>
    </row>
    <row r="10" spans="3:17" x14ac:dyDescent="0.25">
      <c r="C10" s="2" t="s">
        <v>5</v>
      </c>
      <c r="D10" s="2" t="s">
        <v>54</v>
      </c>
      <c r="E10" s="2" t="s">
        <v>71</v>
      </c>
      <c r="F10" s="2" t="s">
        <v>99</v>
      </c>
      <c r="L10" s="2" t="s">
        <v>105</v>
      </c>
    </row>
    <row r="11" spans="3:17" x14ac:dyDescent="0.25">
      <c r="C11" s="2" t="s">
        <v>8</v>
      </c>
      <c r="D11" s="2" t="s">
        <v>53</v>
      </c>
      <c r="E11" s="2" t="s">
        <v>104</v>
      </c>
      <c r="F11" s="2" t="s">
        <v>89</v>
      </c>
      <c r="Q11" s="2"/>
    </row>
    <row r="12" spans="3:17" x14ac:dyDescent="0.25">
      <c r="C12" s="2" t="s">
        <v>9</v>
      </c>
      <c r="D12" s="2" t="s">
        <v>52</v>
      </c>
      <c r="E12" s="2" t="s">
        <v>93</v>
      </c>
      <c r="Q12" s="2"/>
    </row>
    <row r="13" spans="3:17" x14ac:dyDescent="0.25">
      <c r="C13" s="2" t="s">
        <v>10</v>
      </c>
      <c r="D13" s="2" t="s">
        <v>51</v>
      </c>
      <c r="E13" s="2" t="s">
        <v>94</v>
      </c>
    </row>
    <row r="14" spans="3:17" x14ac:dyDescent="0.25">
      <c r="C14" s="2" t="s">
        <v>13</v>
      </c>
      <c r="D14" s="2" t="s">
        <v>55</v>
      </c>
      <c r="E14" s="2" t="s">
        <v>103</v>
      </c>
    </row>
    <row r="15" spans="3:17" x14ac:dyDescent="0.25">
      <c r="C15" s="2" t="s">
        <v>12</v>
      </c>
      <c r="D15" s="2" t="s">
        <v>56</v>
      </c>
      <c r="E15" s="2" t="s">
        <v>76</v>
      </c>
    </row>
    <row r="16" spans="3:17" x14ac:dyDescent="0.25">
      <c r="C16" s="2" t="s">
        <v>11</v>
      </c>
      <c r="D16" s="2" t="s">
        <v>43</v>
      </c>
      <c r="E16" s="2" t="s">
        <v>57</v>
      </c>
    </row>
    <row r="17" spans="3:5" x14ac:dyDescent="0.25">
      <c r="C17" s="2" t="s">
        <v>14</v>
      </c>
      <c r="D17" s="2" t="s">
        <v>44</v>
      </c>
      <c r="E17" s="2" t="s">
        <v>70</v>
      </c>
    </row>
    <row r="18" spans="3:5" x14ac:dyDescent="0.25">
      <c r="C18" s="2" t="s">
        <v>15</v>
      </c>
      <c r="E18" s="2" t="s">
        <v>69</v>
      </c>
    </row>
    <row r="19" spans="3:5" x14ac:dyDescent="0.25">
      <c r="C19" s="2" t="s">
        <v>16</v>
      </c>
      <c r="E19" s="2" t="s">
        <v>68</v>
      </c>
    </row>
    <row r="20" spans="3:5" x14ac:dyDescent="0.25">
      <c r="C20" s="2" t="s">
        <v>17</v>
      </c>
      <c r="E20" s="2" t="s">
        <v>67</v>
      </c>
    </row>
    <row r="21" spans="3:5" x14ac:dyDescent="0.25">
      <c r="C21" s="2" t="s">
        <v>18</v>
      </c>
      <c r="E21" s="2" t="s">
        <v>66</v>
      </c>
    </row>
    <row r="22" spans="3:5" x14ac:dyDescent="0.25">
      <c r="C22" s="2" t="s">
        <v>19</v>
      </c>
      <c r="E22" s="2" t="s">
        <v>65</v>
      </c>
    </row>
    <row r="23" spans="3:5" x14ac:dyDescent="0.25">
      <c r="C23" s="2" t="s">
        <v>20</v>
      </c>
      <c r="E23" s="2" t="s">
        <v>64</v>
      </c>
    </row>
    <row r="24" spans="3:5" x14ac:dyDescent="0.25">
      <c r="C24" s="2" t="s">
        <v>21</v>
      </c>
      <c r="E24" s="2" t="s">
        <v>63</v>
      </c>
    </row>
    <row r="25" spans="3:5" x14ac:dyDescent="0.25">
      <c r="C25" s="2" t="s">
        <v>22</v>
      </c>
      <c r="E25" s="2" t="s">
        <v>77</v>
      </c>
    </row>
    <row r="26" spans="3:5" x14ac:dyDescent="0.25">
      <c r="C26" s="2" t="s">
        <v>23</v>
      </c>
      <c r="E26" s="2" t="s">
        <v>62</v>
      </c>
    </row>
    <row r="27" spans="3:5" x14ac:dyDescent="0.25">
      <c r="C27" s="2" t="s">
        <v>24</v>
      </c>
      <c r="E27" s="2" t="s">
        <v>61</v>
      </c>
    </row>
    <row r="28" spans="3:5" x14ac:dyDescent="0.25">
      <c r="C28" s="2" t="s">
        <v>25</v>
      </c>
      <c r="E28" s="2" t="s">
        <v>60</v>
      </c>
    </row>
    <row r="29" spans="3:5" x14ac:dyDescent="0.25">
      <c r="C29" s="2" t="s">
        <v>26</v>
      </c>
      <c r="E29" s="2" t="s">
        <v>59</v>
      </c>
    </row>
    <row r="30" spans="3:5" x14ac:dyDescent="0.25">
      <c r="C30" s="2" t="s">
        <v>27</v>
      </c>
      <c r="E30" s="2" t="s">
        <v>106</v>
      </c>
    </row>
    <row r="31" spans="3:5" x14ac:dyDescent="0.25">
      <c r="C31" s="2" t="s">
        <v>28</v>
      </c>
    </row>
    <row r="32" spans="3:5" x14ac:dyDescent="0.25">
      <c r="C32" s="2" t="s">
        <v>29</v>
      </c>
    </row>
    <row r="33" spans="3:3" x14ac:dyDescent="0.25">
      <c r="C33" s="2" t="s">
        <v>30</v>
      </c>
    </row>
    <row r="34" spans="3:3" x14ac:dyDescent="0.25">
      <c r="C34" s="2" t="s">
        <v>31</v>
      </c>
    </row>
    <row r="35" spans="3:3" x14ac:dyDescent="0.25">
      <c r="C35" s="2" t="s">
        <v>32</v>
      </c>
    </row>
    <row r="36" spans="3:3" x14ac:dyDescent="0.25">
      <c r="C36" s="2" t="s">
        <v>33</v>
      </c>
    </row>
    <row r="37" spans="3:3" x14ac:dyDescent="0.25">
      <c r="C37" s="2" t="s">
        <v>34</v>
      </c>
    </row>
    <row r="38" spans="3:3" x14ac:dyDescent="0.25">
      <c r="C38" s="2" t="s">
        <v>35</v>
      </c>
    </row>
    <row r="39" spans="3:3" x14ac:dyDescent="0.25">
      <c r="C39" s="2" t="s">
        <v>36</v>
      </c>
    </row>
    <row r="40" spans="3:3" x14ac:dyDescent="0.25">
      <c r="C40" s="2" t="s">
        <v>37</v>
      </c>
    </row>
    <row r="41" spans="3:3" x14ac:dyDescent="0.25">
      <c r="C41" s="2" t="s">
        <v>38</v>
      </c>
    </row>
    <row r="42" spans="3:3" x14ac:dyDescent="0.25">
      <c r="C42" s="2" t="s">
        <v>39</v>
      </c>
    </row>
    <row r="43" spans="3:3" x14ac:dyDescent="0.25">
      <c r="C43" s="2" t="s">
        <v>40</v>
      </c>
    </row>
    <row r="44" spans="3:3" x14ac:dyDescent="0.25">
      <c r="C44" s="2" t="s">
        <v>41</v>
      </c>
    </row>
    <row r="45" spans="3:3" x14ac:dyDescent="0.25">
      <c r="C45" s="2" t="s">
        <v>42</v>
      </c>
    </row>
    <row r="46" spans="3:3" x14ac:dyDescent="0.25">
      <c r="C46" s="2" t="s">
        <v>101</v>
      </c>
    </row>
    <row r="47" spans="3:3" x14ac:dyDescent="0.25">
      <c r="C47" s="2" t="s">
        <v>98</v>
      </c>
    </row>
    <row r="48" spans="3:3" x14ac:dyDescent="0.25">
      <c r="C48" s="2" t="s">
        <v>95</v>
      </c>
    </row>
    <row r="49" spans="3:3" x14ac:dyDescent="0.25">
      <c r="C49" s="2" t="s">
        <v>96</v>
      </c>
    </row>
    <row r="50" spans="3:3" x14ac:dyDescent="0.25">
      <c r="C50" s="2" t="s">
        <v>97</v>
      </c>
    </row>
    <row r="51" spans="3:3" x14ac:dyDescent="0.25">
      <c r="C51" s="2" t="s">
        <v>107</v>
      </c>
    </row>
  </sheetData>
  <sortState xmlns:xlrd2="http://schemas.microsoft.com/office/spreadsheetml/2017/richdata2" ref="C4:C50">
    <sortCondition ref="C4:C5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E5F3B-D41F-4D11-B801-82606CCFE0D2}">
  <dimension ref="B1:P92"/>
  <sheetViews>
    <sheetView topLeftCell="A2" zoomScale="130" zoomScaleNormal="130" workbookViewId="0">
      <selection activeCell="B2" sqref="B2:O2"/>
    </sheetView>
  </sheetViews>
  <sheetFormatPr defaultRowHeight="15" x14ac:dyDescent="0.25"/>
  <cols>
    <col min="2" max="4" width="9.140625" style="2"/>
    <col min="5" max="5" width="11.7109375" style="2" customWidth="1"/>
    <col min="6" max="11" width="9.140625" style="2"/>
    <col min="12" max="12" width="14" style="2" customWidth="1"/>
    <col min="13" max="13" width="14.5703125" customWidth="1"/>
    <col min="14" max="14" width="13.42578125" customWidth="1"/>
  </cols>
  <sheetData>
    <row r="1" spans="2:16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2:16" x14ac:dyDescent="0.25">
      <c r="B2" s="1">
        <f>COUNTA(B4:B91)</f>
        <v>88</v>
      </c>
      <c r="C2" s="1">
        <f t="shared" ref="C2:P2" si="0">COUNTA(C4:C91)</f>
        <v>6</v>
      </c>
      <c r="D2" s="1">
        <f t="shared" si="0"/>
        <v>29</v>
      </c>
      <c r="E2" s="1">
        <f t="shared" si="0"/>
        <v>23</v>
      </c>
      <c r="F2" s="1">
        <f t="shared" si="0"/>
        <v>1</v>
      </c>
      <c r="G2" s="1">
        <f t="shared" si="0"/>
        <v>1</v>
      </c>
      <c r="H2" s="1">
        <f t="shared" si="0"/>
        <v>1</v>
      </c>
      <c r="I2" s="1">
        <f t="shared" si="0"/>
        <v>4</v>
      </c>
      <c r="J2" s="1">
        <f t="shared" si="0"/>
        <v>1</v>
      </c>
      <c r="K2" s="1">
        <f t="shared" si="0"/>
        <v>2</v>
      </c>
      <c r="L2" s="1">
        <f t="shared" si="0"/>
        <v>0</v>
      </c>
      <c r="M2" s="1">
        <f t="shared" si="0"/>
        <v>0</v>
      </c>
      <c r="N2" s="1">
        <f t="shared" si="0"/>
        <v>3</v>
      </c>
      <c r="O2" s="1">
        <f t="shared" si="0"/>
        <v>0</v>
      </c>
      <c r="P2" s="1"/>
    </row>
    <row r="3" spans="2:16" x14ac:dyDescent="0.25">
      <c r="B3" s="1" t="s">
        <v>289</v>
      </c>
      <c r="C3" s="1" t="s">
        <v>290</v>
      </c>
      <c r="D3" s="1" t="s">
        <v>291</v>
      </c>
      <c r="E3" s="1" t="s">
        <v>292</v>
      </c>
      <c r="F3" s="1" t="s">
        <v>314</v>
      </c>
      <c r="G3" s="1" t="s">
        <v>256</v>
      </c>
      <c r="H3" s="1" t="s">
        <v>260</v>
      </c>
      <c r="I3" s="1" t="s">
        <v>263</v>
      </c>
      <c r="J3" s="1" t="s">
        <v>267</v>
      </c>
      <c r="K3" s="1" t="s">
        <v>269</v>
      </c>
      <c r="L3" s="1" t="s">
        <v>299</v>
      </c>
      <c r="M3" s="1" t="s">
        <v>307</v>
      </c>
      <c r="N3" s="1" t="s">
        <v>319</v>
      </c>
      <c r="O3" s="1" t="s">
        <v>346</v>
      </c>
      <c r="P3" s="1"/>
    </row>
    <row r="4" spans="2:16" x14ac:dyDescent="0.25">
      <c r="B4" s="4" t="s">
        <v>220</v>
      </c>
      <c r="C4" s="4" t="s">
        <v>254</v>
      </c>
      <c r="D4" s="5" t="s">
        <v>153</v>
      </c>
      <c r="E4" s="5" t="s">
        <v>171</v>
      </c>
      <c r="F4" s="5" t="s">
        <v>202</v>
      </c>
      <c r="G4" s="4" t="s">
        <v>257</v>
      </c>
      <c r="H4" s="4" t="s">
        <v>261</v>
      </c>
      <c r="I4" s="4" t="s">
        <v>264</v>
      </c>
      <c r="J4" s="2" t="s">
        <v>268</v>
      </c>
      <c r="K4" s="4" t="s">
        <v>266</v>
      </c>
      <c r="N4" s="4" t="s">
        <v>203</v>
      </c>
      <c r="P4" s="5"/>
    </row>
    <row r="5" spans="2:16" x14ac:dyDescent="0.25">
      <c r="B5" s="4" t="s">
        <v>221</v>
      </c>
      <c r="C5" s="4" t="s">
        <v>252</v>
      </c>
      <c r="D5" s="2" t="s">
        <v>206</v>
      </c>
      <c r="E5" s="4" t="s">
        <v>214</v>
      </c>
      <c r="F5" s="4"/>
      <c r="I5" s="2" t="s">
        <v>270</v>
      </c>
      <c r="K5" s="4" t="s">
        <v>208</v>
      </c>
      <c r="N5" s="2" t="s">
        <v>205</v>
      </c>
      <c r="P5" s="4"/>
    </row>
    <row r="6" spans="2:16" x14ac:dyDescent="0.25">
      <c r="B6" s="4" t="s">
        <v>222</v>
      </c>
      <c r="C6" s="4" t="s">
        <v>250</v>
      </c>
      <c r="D6" s="4" t="s">
        <v>204</v>
      </c>
      <c r="E6" s="4" t="s">
        <v>210</v>
      </c>
      <c r="F6" s="4"/>
      <c r="I6" s="2" t="s">
        <v>265</v>
      </c>
      <c r="N6" s="2" t="s">
        <v>209</v>
      </c>
    </row>
    <row r="7" spans="2:16" x14ac:dyDescent="0.25">
      <c r="B7" s="4" t="s">
        <v>223</v>
      </c>
      <c r="C7" s="4" t="s">
        <v>134</v>
      </c>
      <c r="D7" s="2" t="s">
        <v>211</v>
      </c>
      <c r="E7" s="4" t="s">
        <v>173</v>
      </c>
      <c r="F7" s="4"/>
      <c r="I7" s="2" t="s">
        <v>271</v>
      </c>
    </row>
    <row r="8" spans="2:16" x14ac:dyDescent="0.25">
      <c r="B8" s="4" t="s">
        <v>224</v>
      </c>
      <c r="C8" s="4" t="s">
        <v>135</v>
      </c>
      <c r="D8" s="2" t="s">
        <v>213</v>
      </c>
      <c r="E8" s="4" t="s">
        <v>172</v>
      </c>
      <c r="F8" s="4"/>
    </row>
    <row r="9" spans="2:16" x14ac:dyDescent="0.25">
      <c r="B9" s="4" t="s">
        <v>225</v>
      </c>
      <c r="C9" s="4" t="s">
        <v>136</v>
      </c>
      <c r="D9" s="2" t="s">
        <v>216</v>
      </c>
      <c r="E9" s="4" t="s">
        <v>219</v>
      </c>
      <c r="F9" s="4"/>
    </row>
    <row r="10" spans="2:16" x14ac:dyDescent="0.25">
      <c r="B10" s="4" t="s">
        <v>226</v>
      </c>
      <c r="C10" s="4"/>
      <c r="D10" s="2" t="s">
        <v>155</v>
      </c>
      <c r="E10" s="4" t="s">
        <v>217</v>
      </c>
      <c r="F10" s="4"/>
    </row>
    <row r="11" spans="2:16" x14ac:dyDescent="0.25">
      <c r="B11" s="4" t="s">
        <v>227</v>
      </c>
      <c r="C11" s="4"/>
      <c r="D11" s="2" t="s">
        <v>154</v>
      </c>
      <c r="E11" s="3" t="s">
        <v>215</v>
      </c>
      <c r="F11" s="4"/>
    </row>
    <row r="12" spans="2:16" x14ac:dyDescent="0.25">
      <c r="B12" s="4" t="s">
        <v>228</v>
      </c>
      <c r="C12" s="4"/>
      <c r="D12" s="2" t="s">
        <v>218</v>
      </c>
      <c r="E12" s="4" t="s">
        <v>201</v>
      </c>
      <c r="F12" s="4"/>
    </row>
    <row r="13" spans="2:16" x14ac:dyDescent="0.25">
      <c r="B13" s="4" t="s">
        <v>229</v>
      </c>
      <c r="C13" s="4"/>
      <c r="D13" s="2" t="s">
        <v>212</v>
      </c>
      <c r="E13" s="4" t="s">
        <v>258</v>
      </c>
      <c r="F13" s="4"/>
    </row>
    <row r="14" spans="2:16" x14ac:dyDescent="0.25">
      <c r="B14" s="4" t="s">
        <v>230</v>
      </c>
      <c r="D14" s="2" t="s">
        <v>259</v>
      </c>
      <c r="E14" s="4" t="s">
        <v>255</v>
      </c>
    </row>
    <row r="15" spans="2:16" x14ac:dyDescent="0.25">
      <c r="B15" s="4" t="s">
        <v>231</v>
      </c>
      <c r="D15" s="2" t="s">
        <v>199</v>
      </c>
      <c r="E15" s="4" t="s">
        <v>251</v>
      </c>
    </row>
    <row r="16" spans="2:16" x14ac:dyDescent="0.25">
      <c r="B16" s="4" t="s">
        <v>232</v>
      </c>
      <c r="D16" s="2" t="s">
        <v>157</v>
      </c>
      <c r="E16" s="4" t="s">
        <v>262</v>
      </c>
    </row>
    <row r="17" spans="2:5" x14ac:dyDescent="0.25">
      <c r="B17" s="4" t="s">
        <v>233</v>
      </c>
      <c r="D17" s="2" t="s">
        <v>158</v>
      </c>
      <c r="E17" s="4" t="s">
        <v>200</v>
      </c>
    </row>
    <row r="18" spans="2:5" x14ac:dyDescent="0.25">
      <c r="B18" s="4" t="s">
        <v>234</v>
      </c>
      <c r="D18" s="2" t="s">
        <v>159</v>
      </c>
      <c r="E18" s="4" t="s">
        <v>198</v>
      </c>
    </row>
    <row r="19" spans="2:5" x14ac:dyDescent="0.25">
      <c r="B19" s="4" t="s">
        <v>235</v>
      </c>
      <c r="D19" s="2" t="s">
        <v>170</v>
      </c>
      <c r="E19" s="4" t="s">
        <v>197</v>
      </c>
    </row>
    <row r="20" spans="2:5" x14ac:dyDescent="0.25">
      <c r="B20" s="4" t="s">
        <v>236</v>
      </c>
      <c r="D20" s="2" t="s">
        <v>169</v>
      </c>
      <c r="E20" s="4" t="s">
        <v>196</v>
      </c>
    </row>
    <row r="21" spans="2:5" x14ac:dyDescent="0.25">
      <c r="B21" s="4" t="s">
        <v>237</v>
      </c>
      <c r="D21" s="4" t="s">
        <v>166</v>
      </c>
      <c r="E21" s="4" t="s">
        <v>179</v>
      </c>
    </row>
    <row r="22" spans="2:5" x14ac:dyDescent="0.25">
      <c r="B22" s="4" t="s">
        <v>238</v>
      </c>
      <c r="D22" s="4" t="s">
        <v>167</v>
      </c>
      <c r="E22" s="4" t="s">
        <v>178</v>
      </c>
    </row>
    <row r="23" spans="2:5" x14ac:dyDescent="0.25">
      <c r="B23" s="4" t="s">
        <v>239</v>
      </c>
      <c r="D23" s="2" t="s">
        <v>177</v>
      </c>
      <c r="E23" s="4" t="s">
        <v>176</v>
      </c>
    </row>
    <row r="24" spans="2:5" x14ac:dyDescent="0.25">
      <c r="B24" s="4" t="s">
        <v>240</v>
      </c>
      <c r="D24" s="4" t="s">
        <v>168</v>
      </c>
      <c r="E24" s="4" t="s">
        <v>175</v>
      </c>
    </row>
    <row r="25" spans="2:5" x14ac:dyDescent="0.25">
      <c r="B25" s="4" t="s">
        <v>241</v>
      </c>
      <c r="D25" s="4" t="s">
        <v>165</v>
      </c>
      <c r="E25" s="4" t="s">
        <v>174</v>
      </c>
    </row>
    <row r="26" spans="2:5" x14ac:dyDescent="0.25">
      <c r="B26" s="4" t="s">
        <v>242</v>
      </c>
      <c r="D26" s="4" t="s">
        <v>163</v>
      </c>
      <c r="E26" s="4" t="s">
        <v>195</v>
      </c>
    </row>
    <row r="27" spans="2:5" x14ac:dyDescent="0.25">
      <c r="B27" s="4" t="s">
        <v>243</v>
      </c>
      <c r="D27" s="4" t="s">
        <v>162</v>
      </c>
    </row>
    <row r="28" spans="2:5" x14ac:dyDescent="0.25">
      <c r="B28" s="4" t="s">
        <v>244</v>
      </c>
      <c r="D28" s="4" t="s">
        <v>164</v>
      </c>
    </row>
    <row r="29" spans="2:5" x14ac:dyDescent="0.25">
      <c r="B29" s="4" t="s">
        <v>245</v>
      </c>
      <c r="D29" s="2" t="s">
        <v>207</v>
      </c>
    </row>
    <row r="30" spans="2:5" x14ac:dyDescent="0.25">
      <c r="B30" s="4" t="s">
        <v>246</v>
      </c>
      <c r="D30" s="4" t="s">
        <v>161</v>
      </c>
    </row>
    <row r="31" spans="2:5" x14ac:dyDescent="0.25">
      <c r="B31" s="4" t="s">
        <v>247</v>
      </c>
      <c r="D31" s="2" t="s">
        <v>156</v>
      </c>
    </row>
    <row r="32" spans="2:5" x14ac:dyDescent="0.25">
      <c r="B32" s="4" t="s">
        <v>248</v>
      </c>
      <c r="D32" s="4" t="s">
        <v>160</v>
      </c>
    </row>
    <row r="33" spans="2:3" x14ac:dyDescent="0.25">
      <c r="B33" s="4" t="s">
        <v>249</v>
      </c>
    </row>
    <row r="34" spans="2:3" x14ac:dyDescent="0.25">
      <c r="B34" s="4" t="s">
        <v>253</v>
      </c>
    </row>
    <row r="35" spans="2:3" x14ac:dyDescent="0.25">
      <c r="B35" s="4" t="s">
        <v>194</v>
      </c>
    </row>
    <row r="36" spans="2:3" x14ac:dyDescent="0.25">
      <c r="B36" s="4" t="s">
        <v>193</v>
      </c>
    </row>
    <row r="37" spans="2:3" x14ac:dyDescent="0.25">
      <c r="B37" s="4" t="s">
        <v>192</v>
      </c>
    </row>
    <row r="38" spans="2:3" x14ac:dyDescent="0.25">
      <c r="B38" s="4" t="s">
        <v>191</v>
      </c>
    </row>
    <row r="39" spans="2:3" x14ac:dyDescent="0.25">
      <c r="B39" s="4" t="s">
        <v>190</v>
      </c>
    </row>
    <row r="40" spans="2:3" x14ac:dyDescent="0.25">
      <c r="B40" s="4" t="s">
        <v>189</v>
      </c>
    </row>
    <row r="41" spans="2:3" x14ac:dyDescent="0.25">
      <c r="B41" s="4" t="s">
        <v>188</v>
      </c>
    </row>
    <row r="42" spans="2:3" x14ac:dyDescent="0.25">
      <c r="B42" s="4" t="s">
        <v>187</v>
      </c>
    </row>
    <row r="43" spans="2:3" x14ac:dyDescent="0.25">
      <c r="B43" s="4" t="s">
        <v>186</v>
      </c>
    </row>
    <row r="44" spans="2:3" x14ac:dyDescent="0.25">
      <c r="B44" s="4" t="s">
        <v>185</v>
      </c>
    </row>
    <row r="45" spans="2:3" x14ac:dyDescent="0.25">
      <c r="B45" s="4" t="s">
        <v>184</v>
      </c>
    </row>
    <row r="46" spans="2:3" x14ac:dyDescent="0.25">
      <c r="B46" s="4" t="s">
        <v>183</v>
      </c>
    </row>
    <row r="47" spans="2:3" x14ac:dyDescent="0.25">
      <c r="B47" s="4" t="s">
        <v>182</v>
      </c>
      <c r="C47" s="1"/>
    </row>
    <row r="48" spans="2:3" x14ac:dyDescent="0.25">
      <c r="B48" s="4" t="s">
        <v>180</v>
      </c>
    </row>
    <row r="49" spans="2:2" x14ac:dyDescent="0.25">
      <c r="B49" s="4" t="s">
        <v>181</v>
      </c>
    </row>
    <row r="50" spans="2:2" x14ac:dyDescent="0.25">
      <c r="B50" s="4" t="s">
        <v>111</v>
      </c>
    </row>
    <row r="51" spans="2:2" x14ac:dyDescent="0.25">
      <c r="B51" s="4" t="s">
        <v>112</v>
      </c>
    </row>
    <row r="52" spans="2:2" x14ac:dyDescent="0.25">
      <c r="B52" s="4" t="s">
        <v>113</v>
      </c>
    </row>
    <row r="53" spans="2:2" x14ac:dyDescent="0.25">
      <c r="B53" s="4" t="s">
        <v>110</v>
      </c>
    </row>
    <row r="54" spans="2:2" x14ac:dyDescent="0.25">
      <c r="B54" s="4" t="s">
        <v>114</v>
      </c>
    </row>
    <row r="55" spans="2:2" x14ac:dyDescent="0.25">
      <c r="B55" s="4" t="s">
        <v>109</v>
      </c>
    </row>
    <row r="56" spans="2:2" x14ac:dyDescent="0.25">
      <c r="B56" s="4" t="s">
        <v>108</v>
      </c>
    </row>
    <row r="57" spans="2:2" x14ac:dyDescent="0.25">
      <c r="B57" s="4" t="s">
        <v>115</v>
      </c>
    </row>
    <row r="58" spans="2:2" x14ac:dyDescent="0.25">
      <c r="B58" s="4" t="s">
        <v>116</v>
      </c>
    </row>
    <row r="59" spans="2:2" x14ac:dyDescent="0.25">
      <c r="B59" s="4" t="s">
        <v>117</v>
      </c>
    </row>
    <row r="60" spans="2:2" x14ac:dyDescent="0.25">
      <c r="B60" s="4" t="s">
        <v>118</v>
      </c>
    </row>
    <row r="61" spans="2:2" x14ac:dyDescent="0.25">
      <c r="B61" s="4" t="s">
        <v>119</v>
      </c>
    </row>
    <row r="62" spans="2:2" x14ac:dyDescent="0.25">
      <c r="B62" s="4" t="s">
        <v>120</v>
      </c>
    </row>
    <row r="63" spans="2:2" x14ac:dyDescent="0.25">
      <c r="B63" s="4" t="s">
        <v>121</v>
      </c>
    </row>
    <row r="64" spans="2:2" x14ac:dyDescent="0.25">
      <c r="B64" s="4" t="s">
        <v>122</v>
      </c>
    </row>
    <row r="65" spans="2:2" x14ac:dyDescent="0.25">
      <c r="B65" s="4" t="s">
        <v>123</v>
      </c>
    </row>
    <row r="66" spans="2:2" x14ac:dyDescent="0.25">
      <c r="B66" s="4" t="s">
        <v>124</v>
      </c>
    </row>
    <row r="67" spans="2:2" x14ac:dyDescent="0.25">
      <c r="B67" s="4" t="s">
        <v>125</v>
      </c>
    </row>
    <row r="68" spans="2:2" x14ac:dyDescent="0.25">
      <c r="B68" s="4" t="s">
        <v>126</v>
      </c>
    </row>
    <row r="69" spans="2:2" x14ac:dyDescent="0.25">
      <c r="B69" s="4" t="s">
        <v>127</v>
      </c>
    </row>
    <row r="70" spans="2:2" x14ac:dyDescent="0.25">
      <c r="B70" s="4" t="s">
        <v>128</v>
      </c>
    </row>
    <row r="71" spans="2:2" x14ac:dyDescent="0.25">
      <c r="B71" s="4" t="s">
        <v>129</v>
      </c>
    </row>
    <row r="72" spans="2:2" x14ac:dyDescent="0.25">
      <c r="B72" s="4" t="s">
        <v>130</v>
      </c>
    </row>
    <row r="73" spans="2:2" x14ac:dyDescent="0.25">
      <c r="B73" s="4" t="s">
        <v>131</v>
      </c>
    </row>
    <row r="74" spans="2:2" x14ac:dyDescent="0.25">
      <c r="B74" s="4" t="s">
        <v>132</v>
      </c>
    </row>
    <row r="75" spans="2:2" x14ac:dyDescent="0.25">
      <c r="B75" s="4" t="s">
        <v>133</v>
      </c>
    </row>
    <row r="76" spans="2:2" x14ac:dyDescent="0.25">
      <c r="B76" s="4" t="s">
        <v>137</v>
      </c>
    </row>
    <row r="77" spans="2:2" x14ac:dyDescent="0.25">
      <c r="B77" s="4" t="s">
        <v>138</v>
      </c>
    </row>
    <row r="78" spans="2:2" x14ac:dyDescent="0.25">
      <c r="B78" s="4" t="s">
        <v>139</v>
      </c>
    </row>
    <row r="79" spans="2:2" x14ac:dyDescent="0.25">
      <c r="B79" s="4" t="s">
        <v>140</v>
      </c>
    </row>
    <row r="80" spans="2:2" x14ac:dyDescent="0.25">
      <c r="B80" s="4" t="s">
        <v>141</v>
      </c>
    </row>
    <row r="81" spans="2:2" x14ac:dyDescent="0.25">
      <c r="B81" s="4" t="s">
        <v>142</v>
      </c>
    </row>
    <row r="82" spans="2:2" x14ac:dyDescent="0.25">
      <c r="B82" s="4" t="s">
        <v>143</v>
      </c>
    </row>
    <row r="83" spans="2:2" x14ac:dyDescent="0.25">
      <c r="B83" s="4" t="s">
        <v>144</v>
      </c>
    </row>
    <row r="84" spans="2:2" x14ac:dyDescent="0.25">
      <c r="B84" s="4" t="s">
        <v>145</v>
      </c>
    </row>
    <row r="85" spans="2:2" x14ac:dyDescent="0.25">
      <c r="B85" s="4" t="s">
        <v>146</v>
      </c>
    </row>
    <row r="86" spans="2:2" x14ac:dyDescent="0.25">
      <c r="B86" s="4" t="s">
        <v>147</v>
      </c>
    </row>
    <row r="87" spans="2:2" x14ac:dyDescent="0.25">
      <c r="B87" s="4" t="s">
        <v>148</v>
      </c>
    </row>
    <row r="88" spans="2:2" x14ac:dyDescent="0.25">
      <c r="B88" s="4" t="s">
        <v>149</v>
      </c>
    </row>
    <row r="89" spans="2:2" x14ac:dyDescent="0.25">
      <c r="B89" s="4" t="s">
        <v>150</v>
      </c>
    </row>
    <row r="90" spans="2:2" x14ac:dyDescent="0.25">
      <c r="B90" s="4" t="s">
        <v>151</v>
      </c>
    </row>
    <row r="91" spans="2:2" x14ac:dyDescent="0.25">
      <c r="B91" s="4" t="s">
        <v>152</v>
      </c>
    </row>
    <row r="92" spans="2:2" x14ac:dyDescent="0.25">
      <c r="B92" s="4"/>
    </row>
  </sheetData>
  <sortState xmlns:xlrd2="http://schemas.microsoft.com/office/spreadsheetml/2017/richdata2" ref="E5:E26">
    <sortCondition ref="E4:E26"/>
  </sortState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74CE7-B38C-49C8-B7B1-3A44D4E10685}">
  <dimension ref="B1:P12"/>
  <sheetViews>
    <sheetView workbookViewId="0">
      <selection activeCell="B2" sqref="B2:O2"/>
    </sheetView>
  </sheetViews>
  <sheetFormatPr defaultRowHeight="15" x14ac:dyDescent="0.25"/>
  <cols>
    <col min="2" max="4" width="9.140625" style="2"/>
    <col min="5" max="5" width="12.28515625" style="2" customWidth="1"/>
    <col min="6" max="10" width="9.140625" style="2"/>
    <col min="11" max="11" width="12.140625" style="2" customWidth="1"/>
    <col min="12" max="12" width="9.140625" style="2"/>
    <col min="13" max="13" width="15.85546875" customWidth="1"/>
    <col min="14" max="14" width="13.85546875" customWidth="1"/>
  </cols>
  <sheetData>
    <row r="1" spans="2:16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2:16" x14ac:dyDescent="0.25">
      <c r="B2" s="1">
        <f>COUNTA(B4:B100)</f>
        <v>0</v>
      </c>
      <c r="C2" s="1">
        <f t="shared" ref="C2:P2" si="0">COUNTA(C4:C100)</f>
        <v>6</v>
      </c>
      <c r="D2" s="1">
        <f t="shared" si="0"/>
        <v>3</v>
      </c>
      <c r="E2" s="1">
        <f t="shared" si="0"/>
        <v>9</v>
      </c>
      <c r="F2" s="1">
        <f t="shared" si="0"/>
        <v>1</v>
      </c>
      <c r="G2" s="1">
        <f t="shared" si="0"/>
        <v>1</v>
      </c>
      <c r="H2" s="1">
        <f t="shared" si="0"/>
        <v>0</v>
      </c>
      <c r="I2" s="1">
        <f t="shared" si="0"/>
        <v>0</v>
      </c>
      <c r="J2" s="1">
        <f t="shared" si="0"/>
        <v>1</v>
      </c>
      <c r="K2" s="1">
        <f t="shared" si="0"/>
        <v>2</v>
      </c>
      <c r="L2" s="1">
        <f t="shared" si="0"/>
        <v>2</v>
      </c>
      <c r="M2" s="1">
        <f t="shared" si="0"/>
        <v>1</v>
      </c>
      <c r="N2" s="1">
        <f t="shared" si="0"/>
        <v>0</v>
      </c>
      <c r="O2" s="1">
        <f t="shared" si="0"/>
        <v>0</v>
      </c>
      <c r="P2" s="1"/>
    </row>
    <row r="3" spans="2:16" x14ac:dyDescent="0.25">
      <c r="B3" s="1" t="s">
        <v>289</v>
      </c>
      <c r="C3" s="1" t="s">
        <v>290</v>
      </c>
      <c r="D3" s="1" t="s">
        <v>291</v>
      </c>
      <c r="E3" s="1" t="s">
        <v>292</v>
      </c>
      <c r="F3" s="1" t="s">
        <v>314</v>
      </c>
      <c r="G3" s="1" t="s">
        <v>256</v>
      </c>
      <c r="H3" s="1" t="s">
        <v>260</v>
      </c>
      <c r="I3" s="1" t="s">
        <v>263</v>
      </c>
      <c r="J3" s="1" t="s">
        <v>267</v>
      </c>
      <c r="K3" s="1" t="s">
        <v>269</v>
      </c>
      <c r="L3" s="1" t="s">
        <v>299</v>
      </c>
      <c r="M3" s="1" t="s">
        <v>307</v>
      </c>
      <c r="N3" s="1" t="s">
        <v>319</v>
      </c>
      <c r="O3" s="1" t="s">
        <v>346</v>
      </c>
      <c r="P3" s="1"/>
    </row>
    <row r="4" spans="2:16" x14ac:dyDescent="0.25">
      <c r="C4" s="2" t="s">
        <v>272</v>
      </c>
      <c r="D4" s="2" t="s">
        <v>280</v>
      </c>
      <c r="E4" s="2" t="s">
        <v>279</v>
      </c>
      <c r="F4" s="2" t="s">
        <v>287</v>
      </c>
      <c r="G4" s="2" t="s">
        <v>297</v>
      </c>
      <c r="J4" s="2" t="s">
        <v>285</v>
      </c>
      <c r="K4" s="2" t="s">
        <v>286</v>
      </c>
      <c r="L4" s="2" t="s">
        <v>300</v>
      </c>
      <c r="M4" s="2" t="s">
        <v>275</v>
      </c>
      <c r="P4" s="2"/>
    </row>
    <row r="5" spans="2:16" x14ac:dyDescent="0.25">
      <c r="C5" s="2" t="s">
        <v>273</v>
      </c>
      <c r="D5" s="2" t="s">
        <v>281</v>
      </c>
      <c r="E5" s="2" t="s">
        <v>283</v>
      </c>
      <c r="K5" s="2" t="s">
        <v>282</v>
      </c>
      <c r="L5" s="2" t="s">
        <v>301</v>
      </c>
      <c r="P5" s="2"/>
    </row>
    <row r="6" spans="2:16" x14ac:dyDescent="0.25">
      <c r="C6" s="2" t="s">
        <v>274</v>
      </c>
      <c r="D6" s="2" t="s">
        <v>293</v>
      </c>
      <c r="E6" s="2" t="s">
        <v>284</v>
      </c>
    </row>
    <row r="7" spans="2:16" x14ac:dyDescent="0.25">
      <c r="C7" s="2" t="s">
        <v>276</v>
      </c>
      <c r="E7" s="2" t="s">
        <v>288</v>
      </c>
    </row>
    <row r="8" spans="2:16" x14ac:dyDescent="0.25">
      <c r="C8" s="2" t="s">
        <v>277</v>
      </c>
      <c r="E8" s="2" t="s">
        <v>294</v>
      </c>
    </row>
    <row r="9" spans="2:16" x14ac:dyDescent="0.25">
      <c r="C9" s="2" t="s">
        <v>278</v>
      </c>
      <c r="E9" s="2" t="s">
        <v>295</v>
      </c>
    </row>
    <row r="10" spans="2:16" x14ac:dyDescent="0.25">
      <c r="E10" s="2" t="s">
        <v>296</v>
      </c>
    </row>
    <row r="11" spans="2:16" x14ac:dyDescent="0.25">
      <c r="E11" s="2" t="s">
        <v>298</v>
      </c>
    </row>
    <row r="12" spans="2:16" x14ac:dyDescent="0.25">
      <c r="E12" s="2" t="s">
        <v>302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35EDA-A2CB-4219-ADD1-152D92A48D3C}">
  <dimension ref="B1:Q47"/>
  <sheetViews>
    <sheetView topLeftCell="A2" zoomScaleNormal="100" workbookViewId="0">
      <selection activeCell="B2" sqref="B2:O2"/>
    </sheetView>
  </sheetViews>
  <sheetFormatPr defaultRowHeight="15" x14ac:dyDescent="0.25"/>
  <cols>
    <col min="2" max="4" width="9.140625" style="2"/>
    <col min="5" max="5" width="11.85546875" style="2" customWidth="1"/>
    <col min="6" max="12" width="9.140625" style="2"/>
    <col min="13" max="13" width="15.42578125" style="2" customWidth="1"/>
    <col min="14" max="14" width="16.5703125" style="2" customWidth="1"/>
    <col min="15" max="16" width="9.140625" style="2"/>
  </cols>
  <sheetData>
    <row r="1" spans="2:17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2:17" x14ac:dyDescent="0.25">
      <c r="B2" s="1">
        <f>COUNTA(B4:B47)</f>
        <v>44</v>
      </c>
      <c r="C2" s="1">
        <f t="shared" ref="C2:P2" si="0">COUNTA(C4:C47)</f>
        <v>23</v>
      </c>
      <c r="D2" s="1">
        <f t="shared" si="0"/>
        <v>26</v>
      </c>
      <c r="E2" s="1">
        <f t="shared" si="0"/>
        <v>23</v>
      </c>
      <c r="F2" s="1">
        <f t="shared" si="0"/>
        <v>5</v>
      </c>
      <c r="G2" s="1">
        <f t="shared" si="0"/>
        <v>1</v>
      </c>
      <c r="H2" s="1">
        <f t="shared" si="0"/>
        <v>1</v>
      </c>
      <c r="I2" s="1">
        <f t="shared" si="0"/>
        <v>3</v>
      </c>
      <c r="J2" s="1">
        <f t="shared" si="0"/>
        <v>1</v>
      </c>
      <c r="K2" s="1">
        <f t="shared" si="0"/>
        <v>8</v>
      </c>
      <c r="L2" s="1">
        <f t="shared" si="0"/>
        <v>0</v>
      </c>
      <c r="M2" s="1">
        <f t="shared" si="0"/>
        <v>3</v>
      </c>
      <c r="N2" s="1">
        <f t="shared" si="0"/>
        <v>13</v>
      </c>
      <c r="O2" s="1">
        <f t="shared" si="0"/>
        <v>1</v>
      </c>
      <c r="P2" s="1"/>
    </row>
    <row r="3" spans="2:17" x14ac:dyDescent="0.25">
      <c r="B3" s="1" t="s">
        <v>289</v>
      </c>
      <c r="C3" s="1" t="s">
        <v>290</v>
      </c>
      <c r="D3" s="1" t="s">
        <v>291</v>
      </c>
      <c r="E3" s="1" t="s">
        <v>292</v>
      </c>
      <c r="F3" s="1" t="s">
        <v>314</v>
      </c>
      <c r="G3" s="1" t="s">
        <v>256</v>
      </c>
      <c r="H3" s="1" t="s">
        <v>260</v>
      </c>
      <c r="I3" s="1" t="s">
        <v>263</v>
      </c>
      <c r="J3" s="1" t="s">
        <v>267</v>
      </c>
      <c r="K3" s="1" t="s">
        <v>269</v>
      </c>
      <c r="L3" s="1" t="s">
        <v>299</v>
      </c>
      <c r="M3" s="1" t="s">
        <v>307</v>
      </c>
      <c r="N3" s="1" t="s">
        <v>319</v>
      </c>
      <c r="O3" s="1" t="s">
        <v>346</v>
      </c>
      <c r="P3" s="1"/>
    </row>
    <row r="4" spans="2:17" x14ac:dyDescent="0.25">
      <c r="B4" s="2" t="s">
        <v>387</v>
      </c>
      <c r="C4" s="2" t="s">
        <v>312</v>
      </c>
      <c r="D4" s="2" t="s">
        <v>357</v>
      </c>
      <c r="E4" s="2" t="s">
        <v>317</v>
      </c>
      <c r="F4" s="2" t="s">
        <v>311</v>
      </c>
      <c r="G4" s="2" t="s">
        <v>336</v>
      </c>
      <c r="H4" s="2" t="s">
        <v>353</v>
      </c>
      <c r="I4" s="2" t="s">
        <v>350</v>
      </c>
      <c r="J4" s="2" t="s">
        <v>349</v>
      </c>
      <c r="K4" s="2" t="s">
        <v>322</v>
      </c>
      <c r="M4" s="2" t="s">
        <v>308</v>
      </c>
      <c r="N4" s="2" t="s">
        <v>325</v>
      </c>
      <c r="O4" s="2" t="s">
        <v>347</v>
      </c>
    </row>
    <row r="5" spans="2:17" x14ac:dyDescent="0.25">
      <c r="B5" s="2" t="s">
        <v>358</v>
      </c>
      <c r="C5" s="2" t="s">
        <v>338</v>
      </c>
      <c r="D5" s="2" t="s">
        <v>315</v>
      </c>
      <c r="E5" s="2" t="s">
        <v>316</v>
      </c>
      <c r="F5" s="2" t="s">
        <v>392</v>
      </c>
      <c r="I5" s="2" t="s">
        <v>351</v>
      </c>
      <c r="K5" s="2" t="s">
        <v>323</v>
      </c>
      <c r="M5" s="2" t="s">
        <v>310</v>
      </c>
      <c r="N5" s="2" t="s">
        <v>320</v>
      </c>
    </row>
    <row r="6" spans="2:17" x14ac:dyDescent="0.25">
      <c r="B6" s="2" t="s">
        <v>363</v>
      </c>
      <c r="C6" s="2" t="s">
        <v>344</v>
      </c>
      <c r="D6" s="2" t="s">
        <v>313</v>
      </c>
      <c r="E6" s="2" t="s">
        <v>445</v>
      </c>
      <c r="F6" s="2" t="s">
        <v>419</v>
      </c>
      <c r="I6" s="2" t="s">
        <v>352</v>
      </c>
      <c r="K6" s="2" t="s">
        <v>332</v>
      </c>
      <c r="M6" s="2" t="s">
        <v>427</v>
      </c>
      <c r="N6" s="2" t="s">
        <v>326</v>
      </c>
    </row>
    <row r="7" spans="2:17" x14ac:dyDescent="0.25">
      <c r="B7" s="2" t="s">
        <v>364</v>
      </c>
      <c r="C7" s="2" t="s">
        <v>343</v>
      </c>
      <c r="D7" s="2" t="s">
        <v>309</v>
      </c>
      <c r="E7" s="2" t="s">
        <v>426</v>
      </c>
      <c r="F7" s="2" t="s">
        <v>420</v>
      </c>
      <c r="K7" s="2" t="s">
        <v>330</v>
      </c>
      <c r="N7" s="2" t="s">
        <v>328</v>
      </c>
    </row>
    <row r="8" spans="2:17" x14ac:dyDescent="0.25">
      <c r="B8" s="2" t="s">
        <v>365</v>
      </c>
      <c r="C8" s="2" t="s">
        <v>342</v>
      </c>
      <c r="D8" s="2" t="s">
        <v>324</v>
      </c>
      <c r="E8" s="2" t="s">
        <v>441</v>
      </c>
      <c r="F8" s="2" t="s">
        <v>462</v>
      </c>
      <c r="K8" s="2" t="s">
        <v>331</v>
      </c>
      <c r="N8" s="2" t="s">
        <v>333</v>
      </c>
    </row>
    <row r="9" spans="2:17" x14ac:dyDescent="0.25">
      <c r="B9" s="2" t="s">
        <v>366</v>
      </c>
      <c r="C9" s="2" t="s">
        <v>341</v>
      </c>
      <c r="D9" s="2" t="s">
        <v>389</v>
      </c>
      <c r="E9" s="2" t="s">
        <v>444</v>
      </c>
      <c r="K9" s="2" t="s">
        <v>345</v>
      </c>
      <c r="N9" s="2" t="s">
        <v>334</v>
      </c>
    </row>
    <row r="10" spans="2:17" x14ac:dyDescent="0.25">
      <c r="B10" s="2" t="s">
        <v>367</v>
      </c>
      <c r="C10" s="2" t="s">
        <v>390</v>
      </c>
      <c r="D10" s="2" t="s">
        <v>391</v>
      </c>
      <c r="E10" s="2" t="s">
        <v>318</v>
      </c>
      <c r="K10" s="2" t="s">
        <v>455</v>
      </c>
      <c r="N10" s="2" t="s">
        <v>459</v>
      </c>
    </row>
    <row r="11" spans="2:17" x14ac:dyDescent="0.25">
      <c r="B11" s="2" t="s">
        <v>368</v>
      </c>
      <c r="C11" s="2" t="s">
        <v>386</v>
      </c>
      <c r="D11" s="2" t="s">
        <v>388</v>
      </c>
      <c r="E11" s="2" t="s">
        <v>329</v>
      </c>
      <c r="K11" s="2" t="s">
        <v>451</v>
      </c>
      <c r="N11" s="2" t="s">
        <v>458</v>
      </c>
    </row>
    <row r="12" spans="2:17" x14ac:dyDescent="0.25">
      <c r="B12" s="2" t="s">
        <v>369</v>
      </c>
      <c r="C12" s="2" t="s">
        <v>385</v>
      </c>
      <c r="D12" s="2" t="s">
        <v>396</v>
      </c>
      <c r="E12" s="2" t="s">
        <v>335</v>
      </c>
      <c r="N12" s="2" t="s">
        <v>454</v>
      </c>
    </row>
    <row r="13" spans="2:17" x14ac:dyDescent="0.25">
      <c r="B13" s="2" t="s">
        <v>370</v>
      </c>
      <c r="C13" s="2" t="s">
        <v>380</v>
      </c>
      <c r="D13" s="2" t="s">
        <v>395</v>
      </c>
      <c r="E13" s="2" t="s">
        <v>337</v>
      </c>
      <c r="N13" s="2" t="s">
        <v>453</v>
      </c>
    </row>
    <row r="14" spans="2:17" x14ac:dyDescent="0.25">
      <c r="B14" s="2" t="s">
        <v>371</v>
      </c>
      <c r="C14" s="2" t="s">
        <v>383</v>
      </c>
      <c r="D14" s="2" t="s">
        <v>394</v>
      </c>
      <c r="E14" s="2" t="s">
        <v>339</v>
      </c>
      <c r="N14" s="2" t="s">
        <v>449</v>
      </c>
    </row>
    <row r="15" spans="2:17" x14ac:dyDescent="0.25">
      <c r="B15" s="2" t="s">
        <v>372</v>
      </c>
      <c r="C15" s="2" t="s">
        <v>378</v>
      </c>
      <c r="D15" s="2" t="s">
        <v>356</v>
      </c>
      <c r="E15" s="2" t="s">
        <v>340</v>
      </c>
      <c r="N15" s="2" t="s">
        <v>321</v>
      </c>
    </row>
    <row r="16" spans="2:17" x14ac:dyDescent="0.25">
      <c r="B16" s="2" t="s">
        <v>373</v>
      </c>
      <c r="C16" s="2" t="s">
        <v>379</v>
      </c>
      <c r="D16" s="2" t="s">
        <v>355</v>
      </c>
      <c r="E16" s="2" t="s">
        <v>393</v>
      </c>
      <c r="N16" s="2" t="s">
        <v>327</v>
      </c>
    </row>
    <row r="17" spans="2:5" x14ac:dyDescent="0.25">
      <c r="B17" s="2" t="s">
        <v>374</v>
      </c>
      <c r="C17" s="2" t="s">
        <v>443</v>
      </c>
      <c r="D17" s="2" t="s">
        <v>354</v>
      </c>
      <c r="E17" s="2" t="s">
        <v>384</v>
      </c>
    </row>
    <row r="18" spans="2:5" x14ac:dyDescent="0.25">
      <c r="B18" s="2" t="s">
        <v>375</v>
      </c>
      <c r="C18" s="2" t="s">
        <v>440</v>
      </c>
      <c r="D18" s="2" t="s">
        <v>418</v>
      </c>
      <c r="E18" s="2" t="s">
        <v>348</v>
      </c>
    </row>
    <row r="19" spans="2:5" x14ac:dyDescent="0.25">
      <c r="B19" s="2" t="s">
        <v>376</v>
      </c>
      <c r="C19" s="2" t="s">
        <v>438</v>
      </c>
      <c r="D19" s="2" t="s">
        <v>424</v>
      </c>
      <c r="E19" s="2" t="s">
        <v>397</v>
      </c>
    </row>
    <row r="20" spans="2:5" x14ac:dyDescent="0.25">
      <c r="B20" s="2" t="s">
        <v>377</v>
      </c>
      <c r="C20" s="2" t="s">
        <v>437</v>
      </c>
      <c r="D20" s="2" t="s">
        <v>423</v>
      </c>
      <c r="E20" s="2" t="s">
        <v>382</v>
      </c>
    </row>
    <row r="21" spans="2:5" x14ac:dyDescent="0.25">
      <c r="B21" s="2" t="s">
        <v>359</v>
      </c>
      <c r="C21" s="2" t="s">
        <v>439</v>
      </c>
      <c r="D21" s="2" t="s">
        <v>422</v>
      </c>
      <c r="E21" s="2" t="s">
        <v>398</v>
      </c>
    </row>
    <row r="22" spans="2:5" x14ac:dyDescent="0.25">
      <c r="B22" s="2" t="s">
        <v>360</v>
      </c>
      <c r="C22" s="2" t="s">
        <v>431</v>
      </c>
      <c r="D22" s="2" t="s">
        <v>436</v>
      </c>
      <c r="E22" s="2" t="s">
        <v>399</v>
      </c>
    </row>
    <row r="23" spans="2:5" x14ac:dyDescent="0.25">
      <c r="B23" s="2" t="s">
        <v>362</v>
      </c>
      <c r="C23" s="2" t="s">
        <v>430</v>
      </c>
      <c r="D23" s="2" t="s">
        <v>446</v>
      </c>
      <c r="E23" s="2" t="s">
        <v>381</v>
      </c>
    </row>
    <row r="24" spans="2:5" x14ac:dyDescent="0.25">
      <c r="B24" s="2" t="s">
        <v>447</v>
      </c>
      <c r="C24" s="2" t="s">
        <v>429</v>
      </c>
      <c r="D24" s="2" t="s">
        <v>457</v>
      </c>
      <c r="E24" s="2" t="s">
        <v>361</v>
      </c>
    </row>
    <row r="25" spans="2:5" x14ac:dyDescent="0.25">
      <c r="B25" s="2" t="s">
        <v>448</v>
      </c>
      <c r="C25" s="2" t="s">
        <v>428</v>
      </c>
      <c r="D25" s="2" t="s">
        <v>460</v>
      </c>
      <c r="E25" s="2" t="s">
        <v>421</v>
      </c>
    </row>
    <row r="26" spans="2:5" x14ac:dyDescent="0.25">
      <c r="B26" s="2" t="s">
        <v>433</v>
      </c>
      <c r="C26" s="2" t="s">
        <v>432</v>
      </c>
      <c r="D26" s="2" t="s">
        <v>461</v>
      </c>
      <c r="E26" s="2" t="s">
        <v>442</v>
      </c>
    </row>
    <row r="27" spans="2:5" x14ac:dyDescent="0.25">
      <c r="B27" s="2" t="s">
        <v>434</v>
      </c>
      <c r="D27" s="2" t="s">
        <v>456</v>
      </c>
    </row>
    <row r="28" spans="2:5" x14ac:dyDescent="0.25">
      <c r="B28" s="2" t="s">
        <v>435</v>
      </c>
      <c r="D28" s="2" t="s">
        <v>452</v>
      </c>
    </row>
    <row r="29" spans="2:5" x14ac:dyDescent="0.25">
      <c r="B29" s="2" t="s">
        <v>425</v>
      </c>
      <c r="D29" s="2" t="s">
        <v>450</v>
      </c>
    </row>
    <row r="30" spans="2:5" x14ac:dyDescent="0.25">
      <c r="B30" s="2" t="s">
        <v>400</v>
      </c>
    </row>
    <row r="31" spans="2:5" x14ac:dyDescent="0.25">
      <c r="B31" s="2" t="s">
        <v>401</v>
      </c>
    </row>
    <row r="32" spans="2:5" x14ac:dyDescent="0.25">
      <c r="B32" s="2" t="s">
        <v>402</v>
      </c>
    </row>
    <row r="33" spans="2:2" x14ac:dyDescent="0.25">
      <c r="B33" s="2" t="s">
        <v>403</v>
      </c>
    </row>
    <row r="34" spans="2:2" x14ac:dyDescent="0.25">
      <c r="B34" s="2" t="s">
        <v>404</v>
      </c>
    </row>
    <row r="35" spans="2:2" x14ac:dyDescent="0.25">
      <c r="B35" s="2" t="s">
        <v>405</v>
      </c>
    </row>
    <row r="36" spans="2:2" x14ac:dyDescent="0.25">
      <c r="B36" s="2" t="s">
        <v>406</v>
      </c>
    </row>
    <row r="37" spans="2:2" x14ac:dyDescent="0.25">
      <c r="B37" s="2" t="s">
        <v>407</v>
      </c>
    </row>
    <row r="38" spans="2:2" x14ac:dyDescent="0.25">
      <c r="B38" s="2" t="s">
        <v>408</v>
      </c>
    </row>
    <row r="39" spans="2:2" x14ac:dyDescent="0.25">
      <c r="B39" s="2" t="s">
        <v>409</v>
      </c>
    </row>
    <row r="40" spans="2:2" x14ac:dyDescent="0.25">
      <c r="B40" s="2" t="s">
        <v>410</v>
      </c>
    </row>
    <row r="41" spans="2:2" x14ac:dyDescent="0.25">
      <c r="B41" s="2" t="s">
        <v>411</v>
      </c>
    </row>
    <row r="42" spans="2:2" x14ac:dyDescent="0.25">
      <c r="B42" s="2" t="s">
        <v>412</v>
      </c>
    </row>
    <row r="43" spans="2:2" x14ac:dyDescent="0.25">
      <c r="B43" s="2" t="s">
        <v>413</v>
      </c>
    </row>
    <row r="44" spans="2:2" x14ac:dyDescent="0.25">
      <c r="B44" s="2" t="s">
        <v>414</v>
      </c>
    </row>
    <row r="45" spans="2:2" x14ac:dyDescent="0.25">
      <c r="B45" s="2" t="s">
        <v>415</v>
      </c>
    </row>
    <row r="46" spans="2:2" x14ac:dyDescent="0.25">
      <c r="B46" s="2" t="s">
        <v>416</v>
      </c>
    </row>
    <row r="47" spans="2:2" x14ac:dyDescent="0.25">
      <c r="B47" s="2" t="s">
        <v>417</v>
      </c>
    </row>
  </sheetData>
  <sortState xmlns:xlrd2="http://schemas.microsoft.com/office/spreadsheetml/2017/richdata2" ref="N4:N16">
    <sortCondition ref="N4:N16"/>
  </sortState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North</vt:lpstr>
      <vt:lpstr>East</vt:lpstr>
      <vt:lpstr>South</vt:lpstr>
      <vt:lpstr>West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Malgosia .</dc:creator>
  <cp:lastModifiedBy>(20102772) Malgorzata Victor</cp:lastModifiedBy>
  <dcterms:created xsi:type="dcterms:W3CDTF">2015-06-05T18:17:20Z</dcterms:created>
  <dcterms:modified xsi:type="dcterms:W3CDTF">2025-11-13T23:46:18Z</dcterms:modified>
</cp:coreProperties>
</file>